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46318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46318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46318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46318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46318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15219-2024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46318</v>
      </c>
      <c r="F11" t="inlineStr">
        <is>
          <t>VÄSTRA GÖTALANDS LÄN</t>
        </is>
      </c>
      <c r="G11" t="inlineStr">
        <is>
          <t>LIDKÖPING</t>
        </is>
      </c>
      <c r="I11" t="n">
        <v>6.7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Tårkragskivling
Kungsfågel</t>
        </is>
      </c>
      <c r="W11">
        <f>HYPERLINK("https://klasma.github.io/Logging_1494/artfynd/A 15219-2024 artfynd.xlsx", "A 15219-2024")</f>
        <v/>
      </c>
      <c r="X11">
        <f>HYPERLINK("https://klasma.github.io/Logging_1494/kartor/A 15219-2024 karta.png", "A 15219-2024")</f>
        <v/>
      </c>
      <c r="Y11">
        <f>HYPERLINK("https://klasma.github.io/Logging_1494/kartor_geotiff/A 15219-2024 georefererad karta.tif", "A 15219-2024")</f>
        <v/>
      </c>
      <c r="AA11">
        <f>HYPERLINK("https://klasma.github.io/Logging_1494/klagomål/A 15219-2024 FSC-klagomål.docx", "A 15219-2024")</f>
        <v/>
      </c>
      <c r="AB11">
        <f>HYPERLINK("https://klasma.github.io/Logging_1494/klagomålsmail/A 15219-2024 FSC-klagomål mail.docx", "A 15219-2024")</f>
        <v/>
      </c>
      <c r="AC11">
        <f>HYPERLINK("https://klasma.github.io/Logging_1494/tillsyn/A 15219-2024 tillsynsbegäran.docx", "A 15219-2024")</f>
        <v/>
      </c>
      <c r="AD11">
        <f>HYPERLINK("https://klasma.github.io/Logging_1494/tillsynsmail/A 15219-2024 tillsynsbegäran mail.docx", "A 15219-2024")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46318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46318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46318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46318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46318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46318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46318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46318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44680-2023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46318</v>
      </c>
      <c r="F20" t="inlineStr">
        <is>
          <t>VÄSTRA GÖTALANDS LÄN</t>
        </is>
      </c>
      <c r="G20" t="inlineStr">
        <is>
          <t>LIDKÖPING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Trädlärka</t>
        </is>
      </c>
      <c r="W20">
        <f>HYPERLINK("https://klasma.github.io/Logging_1494/artfynd/A 44680-2023 artfynd.xlsx", "A 44680-2023")</f>
        <v/>
      </c>
      <c r="X20">
        <f>HYPERLINK("https://klasma.github.io/Logging_1494/kartor/A 44680-2023 karta.png", "A 44680-2023")</f>
        <v/>
      </c>
      <c r="Y20">
        <f>HYPERLINK("https://klasma.github.io/Logging_1494/kartor_geotiff/A 44680-2023 georefererad karta.tif", "A 44680-2023")</f>
        <v/>
      </c>
      <c r="AA20">
        <f>HYPERLINK("https://klasma.github.io/Logging_1494/klagomål/A 44680-2023 FSC-klagomål.docx", "A 44680-2023")</f>
        <v/>
      </c>
      <c r="AB20">
        <f>HYPERLINK("https://klasma.github.io/Logging_1494/klagomålsmail/A 44680-2023 FSC-klagomål mail.docx", "A 44680-2023")</f>
        <v/>
      </c>
      <c r="AC20">
        <f>HYPERLINK("https://klasma.github.io/Logging_1494/tillsyn/A 44680-2023 tillsynsbegäran.docx", "A 44680-2023")</f>
        <v/>
      </c>
      <c r="AD20">
        <f>HYPERLINK("https://klasma.github.io/Logging_1494/tillsynsmail/A 44680-2023 tillsynsbegäran mail.docx", "A 44680-2023")</f>
        <v/>
      </c>
      <c r="AE20">
        <f>HYPERLINK("https://klasma.github.io/Logging_1494/fåglar/A 44680-2023 prioriterade fågelarter.docx", "A 44680-2023")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46318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46318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41746-2026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46302</v>
      </c>
      <c r="E23" s="1" t="n">
        <v>46318</v>
      </c>
      <c r="F23" t="inlineStr">
        <is>
          <t>VÄSTRA GÖTALANDS LÄN</t>
        </is>
      </c>
      <c r="G23" t="inlineStr">
        <is>
          <t>LIDKÖPING</t>
        </is>
      </c>
      <c r="H23" t="inlineStr">
        <is>
          <t>Kommuner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Vanlig snok</t>
        </is>
      </c>
      <c r="W23">
        <f>HYPERLINK("https://klasma.github.io/Logging_1494/artfynd/A 41746-2026 artfynd.xlsx", "A 41746-2026")</f>
        <v/>
      </c>
      <c r="X23">
        <f>HYPERLINK("https://klasma.github.io/Logging_1494/kartor/A 41746-2026 karta.png", "A 41746-2026")</f>
        <v/>
      </c>
      <c r="Y23">
        <f>HYPERLINK("https://klasma.github.io/Logging_1494/kartor_geotiff/A 41746-2026 georefererad karta.tif", "A 41746-2026")</f>
        <v/>
      </c>
      <c r="AA23">
        <f>HYPERLINK("https://klasma.github.io/Logging_1494/klagomål/A 41746-2026 FSC-klagomål.docx", "A 41746-2026")</f>
        <v/>
      </c>
      <c r="AB23">
        <f>HYPERLINK("https://klasma.github.io/Logging_1494/klagomålsmail/A 41746-2026 FSC-klagomål mail.docx", "A 41746-2026")</f>
        <v/>
      </c>
      <c r="AC23">
        <f>HYPERLINK("https://klasma.github.io/Logging_1494/tillsyn/A 41746-2026 tillsynsbegäran.docx", "A 41746-2026")</f>
        <v/>
      </c>
      <c r="AD23">
        <f>HYPERLINK("https://klasma.github.io/Logging_1494/tillsynsmail/A 41746-2026 tillsynsbegäran mail.docx", "A 41746-2026")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46318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46318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46318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46318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46318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46318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46318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46318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46318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46318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46318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46318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46318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28331-2022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44747</v>
      </c>
      <c r="E37" s="1" t="n">
        <v>46318</v>
      </c>
      <c r="F37" t="inlineStr">
        <is>
          <t>VÄSTRA GÖTALANDS LÄN</t>
        </is>
      </c>
      <c r="G37" t="inlineStr">
        <is>
          <t>LIDKÖPING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46318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46318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45643</v>
      </c>
      <c r="E40" s="1" t="n">
        <v>46318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65341-2021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46318</v>
      </c>
      <c r="F41" t="inlineStr">
        <is>
          <t>VÄSTRA GÖTALANDS LÄN</t>
        </is>
      </c>
      <c r="G41" t="inlineStr">
        <is>
          <t>LIDKÖPING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46318</v>
      </c>
      <c r="F42" t="inlineStr">
        <is>
          <t>VÄSTRA GÖTALANDS LÄN</t>
        </is>
      </c>
      <c r="G42" t="inlineStr">
        <is>
          <t>LIDKÖPING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46318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46318</v>
      </c>
      <c r="F44" t="inlineStr">
        <is>
          <t>VÄSTRA GÖTALANDS LÄN</t>
        </is>
      </c>
      <c r="G44" t="inlineStr">
        <is>
          <t>LIDKÖPING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45250</v>
      </c>
      <c r="E45" s="1" t="n">
        <v>46318</v>
      </c>
      <c r="F45" t="inlineStr">
        <is>
          <t>VÄSTRA GÖTALANDS LÄN</t>
        </is>
      </c>
      <c r="G45" t="inlineStr">
        <is>
          <t>LIDKÖPING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46318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46318</v>
      </c>
      <c r="F47" t="inlineStr">
        <is>
          <t>VÄSTRA GÖTALANDS LÄN</t>
        </is>
      </c>
      <c r="G47" t="inlineStr">
        <is>
          <t>LIDKÖPING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46318</v>
      </c>
      <c r="F48" t="inlineStr">
        <is>
          <t>VÄSTRA GÖTALANDS LÄN</t>
        </is>
      </c>
      <c r="G48" t="inlineStr">
        <is>
          <t>LIDKÖPING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17892-2025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45758</v>
      </c>
      <c r="E49" s="1" t="n">
        <v>46318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46318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46318</v>
      </c>
      <c r="F51" t="inlineStr">
        <is>
          <t>VÄSTRA GÖTALANDS LÄN</t>
        </is>
      </c>
      <c r="G51" t="inlineStr">
        <is>
          <t>LIDKÖPING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46318</v>
      </c>
      <c r="F52" t="inlineStr">
        <is>
          <t>VÄSTRA GÖTALANDS LÄN</t>
        </is>
      </c>
      <c r="G52" t="inlineStr">
        <is>
          <t>LIDKÖPING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46318</v>
      </c>
      <c r="F53" t="inlineStr">
        <is>
          <t>VÄSTRA GÖTALANDS LÄN</t>
        </is>
      </c>
      <c r="G53" t="inlineStr">
        <is>
          <t>LIDKÖPING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45824</v>
      </c>
      <c r="E54" s="1" t="n">
        <v>46318</v>
      </c>
      <c r="F54" t="inlineStr">
        <is>
          <t>VÄSTRA GÖTALANDS LÄN</t>
        </is>
      </c>
      <c r="G54" t="inlineStr">
        <is>
          <t>LIDKÖPING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46318</v>
      </c>
      <c r="F55" t="inlineStr">
        <is>
          <t>VÄSTRA GÖTALANDS LÄN</t>
        </is>
      </c>
      <c r="G55" t="inlineStr">
        <is>
          <t>LIDKÖPING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45120</v>
      </c>
      <c r="E56" s="1" t="n">
        <v>46318</v>
      </c>
      <c r="F56" t="inlineStr">
        <is>
          <t>VÄSTRA GÖTALANDS LÄN</t>
        </is>
      </c>
      <c r="G56" t="inlineStr">
        <is>
          <t>LIDKÖPING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46318</v>
      </c>
      <c r="F57" t="inlineStr">
        <is>
          <t>VÄSTRA GÖTALANDS LÄN</t>
        </is>
      </c>
      <c r="G57" t="inlineStr">
        <is>
          <t>LIDKÖPING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46318</v>
      </c>
      <c r="F58" t="inlineStr">
        <is>
          <t>VÄSTRA GÖTALANDS LÄN</t>
        </is>
      </c>
      <c r="G58" t="inlineStr">
        <is>
          <t>LIDKÖPING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46318</v>
      </c>
      <c r="F59" t="inlineStr">
        <is>
          <t>VÄSTRA GÖTALANDS LÄN</t>
        </is>
      </c>
      <c r="G59" t="inlineStr">
        <is>
          <t>LIDKÖPING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35202-2023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46318</v>
      </c>
      <c r="F60" t="inlineStr">
        <is>
          <t>VÄSTRA GÖTALANDS LÄN</t>
        </is>
      </c>
      <c r="G60" t="inlineStr">
        <is>
          <t>LIDKÖPING</t>
        </is>
      </c>
      <c r="I60" t="n">
        <v>11.1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46318</v>
      </c>
      <c r="F61" t="inlineStr">
        <is>
          <t>VÄSTRA GÖTALANDS LÄN</t>
        </is>
      </c>
      <c r="G61" t="inlineStr">
        <is>
          <t>LIDKÖPING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45837</v>
      </c>
      <c r="E62" s="1" t="n">
        <v>46318</v>
      </c>
      <c r="F62" t="inlineStr">
        <is>
          <t>VÄSTRA GÖTALANDS LÄN</t>
        </is>
      </c>
      <c r="G62" t="inlineStr">
        <is>
          <t>LIDKÖPING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44960</v>
      </c>
      <c r="E63" s="1" t="n">
        <v>46318</v>
      </c>
      <c r="F63" t="inlineStr">
        <is>
          <t>VÄSTRA GÖTALANDS LÄN</t>
        </is>
      </c>
      <c r="G63" t="inlineStr">
        <is>
          <t>LIDKÖPING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45252</v>
      </c>
      <c r="E64" s="1" t="n">
        <v>46318</v>
      </c>
      <c r="F64" t="inlineStr">
        <is>
          <t>VÄSTRA GÖTALANDS LÄN</t>
        </is>
      </c>
      <c r="G64" t="inlineStr">
        <is>
          <t>LIDKÖPING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46318</v>
      </c>
      <c r="F65" t="inlineStr">
        <is>
          <t>VÄSTRA GÖTALANDS LÄN</t>
        </is>
      </c>
      <c r="G65" t="inlineStr">
        <is>
          <t>LIDKÖPING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46318</v>
      </c>
      <c r="F66" t="inlineStr">
        <is>
          <t>VÄSTRA GÖTALANDS LÄN</t>
        </is>
      </c>
      <c r="G66" t="inlineStr">
        <is>
          <t>LIDKÖPING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46318</v>
      </c>
      <c r="F67" t="inlineStr">
        <is>
          <t>VÄSTRA GÖTALANDS LÄN</t>
        </is>
      </c>
      <c r="G67" t="inlineStr">
        <is>
          <t>LIDKÖPING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46318</v>
      </c>
      <c r="F68" t="inlineStr">
        <is>
          <t>VÄSTRA GÖTALANDS LÄN</t>
        </is>
      </c>
      <c r="G68" t="inlineStr">
        <is>
          <t>LIDKÖPING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46318</v>
      </c>
      <c r="F69" t="inlineStr">
        <is>
          <t>VÄSTRA GÖTALANDS LÄN</t>
        </is>
      </c>
      <c r="G69" t="inlineStr">
        <is>
          <t>LIDKÖPING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45623</v>
      </c>
      <c r="E70" s="1" t="n">
        <v>46318</v>
      </c>
      <c r="F70" t="inlineStr">
        <is>
          <t>VÄSTRA GÖTALANDS LÄN</t>
        </is>
      </c>
      <c r="G70" t="inlineStr">
        <is>
          <t>LIDKÖPING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8626-2024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46318</v>
      </c>
      <c r="F71" t="inlineStr">
        <is>
          <t>VÄSTRA GÖTALANDS LÄN</t>
        </is>
      </c>
      <c r="G71" t="inlineStr">
        <is>
          <t>LIDKÖPING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60112-2024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45642</v>
      </c>
      <c r="E72" s="1" t="n">
        <v>46318</v>
      </c>
      <c r="F72" t="inlineStr">
        <is>
          <t>VÄSTRA GÖTALANDS LÄN</t>
        </is>
      </c>
      <c r="G72" t="inlineStr">
        <is>
          <t>LIDKÖPING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31605-2024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45506</v>
      </c>
      <c r="E73" s="1" t="n">
        <v>46318</v>
      </c>
      <c r="F73" t="inlineStr">
        <is>
          <t>VÄSTRA GÖTALANDS LÄN</t>
        </is>
      </c>
      <c r="G73" t="inlineStr">
        <is>
          <t>LIDKÖPING</t>
        </is>
      </c>
      <c r="H73" t="inlineStr">
        <is>
          <t>Kommuner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46318</v>
      </c>
      <c r="F74" t="inlineStr">
        <is>
          <t>VÄSTRA GÖTALANDS LÄN</t>
        </is>
      </c>
      <c r="G74" t="inlineStr">
        <is>
          <t>LIDKÖPING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46318</v>
      </c>
      <c r="F75" t="inlineStr">
        <is>
          <t>VÄSTRA GÖTALANDS LÄN</t>
        </is>
      </c>
      <c r="G75" t="inlineStr">
        <is>
          <t>LIDKÖPING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62551-2021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46318</v>
      </c>
      <c r="F76" t="inlineStr">
        <is>
          <t>VÄSTRA GÖTALANDS LÄN</t>
        </is>
      </c>
      <c r="G76" t="inlineStr">
        <is>
          <t>LIDKÖPING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37195-2025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45875</v>
      </c>
      <c r="E77" s="1" t="n">
        <v>46318</v>
      </c>
      <c r="F77" t="inlineStr">
        <is>
          <t>VÄSTRA GÖTALANDS LÄN</t>
        </is>
      </c>
      <c r="G77" t="inlineStr">
        <is>
          <t>LIDKÖPING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56542-2024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45625</v>
      </c>
      <c r="E78" s="1" t="n">
        <v>46318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46318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45366</v>
      </c>
      <c r="E80" s="1" t="n">
        <v>46318</v>
      </c>
      <c r="F80" t="inlineStr">
        <is>
          <t>VÄSTRA GÖTALANDS LÄN</t>
        </is>
      </c>
      <c r="G80" t="inlineStr">
        <is>
          <t>LIDKÖPING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46318</v>
      </c>
      <c r="F81" t="inlineStr">
        <is>
          <t>VÄSTRA GÖTALANDS LÄN</t>
        </is>
      </c>
      <c r="G81" t="inlineStr">
        <is>
          <t>LIDKÖPING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44642</v>
      </c>
      <c r="E82" s="1" t="n">
        <v>46318</v>
      </c>
      <c r="F82" t="inlineStr">
        <is>
          <t>VÄSTRA GÖTALANDS LÄN</t>
        </is>
      </c>
      <c r="G82" t="inlineStr">
        <is>
          <t>LIDKÖPING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44845</v>
      </c>
      <c r="E83" s="1" t="n">
        <v>46318</v>
      </c>
      <c r="F83" t="inlineStr">
        <is>
          <t>VÄSTRA GÖTALANDS LÄN</t>
        </is>
      </c>
      <c r="G83" t="inlineStr">
        <is>
          <t>LIDKÖPING</t>
        </is>
      </c>
      <c r="I83" t="n">
        <v>17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46318</v>
      </c>
      <c r="F84" t="inlineStr">
        <is>
          <t>VÄSTRA GÖTALANDS LÄN</t>
        </is>
      </c>
      <c r="G84" t="inlineStr">
        <is>
          <t>LIDKÖPING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46318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46318</v>
      </c>
      <c r="F86" t="inlineStr">
        <is>
          <t>VÄSTRA GÖTALANDS LÄN</t>
        </is>
      </c>
      <c r="G86" t="inlineStr">
        <is>
          <t>LIDKÖPING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46318</v>
      </c>
      <c r="F87" t="inlineStr">
        <is>
          <t>VÄSTRA GÖTALANDS LÄN</t>
        </is>
      </c>
      <c r="G87" t="inlineStr">
        <is>
          <t>LIDKÖPING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46318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46318</v>
      </c>
      <c r="F89" t="inlineStr">
        <is>
          <t>VÄSTRA GÖTALANDS LÄN</t>
        </is>
      </c>
      <c r="G89" t="inlineStr">
        <is>
          <t>LIDKÖPING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44967</v>
      </c>
      <c r="E90" s="1" t="n">
        <v>46318</v>
      </c>
      <c r="F90" t="inlineStr">
        <is>
          <t>VÄSTRA GÖTALANDS LÄN</t>
        </is>
      </c>
      <c r="G90" t="inlineStr">
        <is>
          <t>LIDKÖPING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46318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52719-2025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46318</v>
      </c>
      <c r="F92" t="inlineStr">
        <is>
          <t>VÄSTRA GÖTALANDS LÄN</t>
        </is>
      </c>
      <c r="G92" t="inlineStr">
        <is>
          <t>LIDKÖPING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46318</v>
      </c>
      <c r="F93" t="inlineStr">
        <is>
          <t>VÄSTRA GÖTALANDS LÄN</t>
        </is>
      </c>
      <c r="G93" t="inlineStr">
        <is>
          <t>LIDKÖPING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41163-2023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46318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46318</v>
      </c>
      <c r="F95" t="inlineStr">
        <is>
          <t>VÄSTRA GÖTALANDS LÄN</t>
        </is>
      </c>
      <c r="G95" t="inlineStr">
        <is>
          <t>LIDKÖPING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46318</v>
      </c>
      <c r="F96" t="inlineStr">
        <is>
          <t>VÄSTRA GÖTALANDS LÄN</t>
        </is>
      </c>
      <c r="G96" t="inlineStr">
        <is>
          <t>LIDKÖPING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46318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45169</v>
      </c>
      <c r="E98" s="1" t="n">
        <v>46318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45153</v>
      </c>
      <c r="E99" s="1" t="n">
        <v>46318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46144</v>
      </c>
      <c r="E100" s="1" t="n">
        <v>46318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46318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46318</v>
      </c>
      <c r="F102" t="inlineStr">
        <is>
          <t>VÄSTRA GÖTALANDS LÄN</t>
        </is>
      </c>
      <c r="G102" t="inlineStr">
        <is>
          <t>LIDKÖPING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46318</v>
      </c>
      <c r="F103" t="inlineStr">
        <is>
          <t>VÄSTRA GÖTALANDS LÄN</t>
        </is>
      </c>
      <c r="G103" t="inlineStr">
        <is>
          <t>LIDKÖPING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46318</v>
      </c>
      <c r="F104" t="inlineStr">
        <is>
          <t>VÄSTRA GÖTALANDS LÄN</t>
        </is>
      </c>
      <c r="G104" t="inlineStr">
        <is>
          <t>LIDKÖPING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46318</v>
      </c>
      <c r="F105" t="inlineStr">
        <is>
          <t>VÄSTRA GÖTALANDS LÄN</t>
        </is>
      </c>
      <c r="G105" t="inlineStr">
        <is>
          <t>LIDKÖPING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46318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46318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46318</v>
      </c>
      <c r="F108" t="inlineStr">
        <is>
          <t>VÄSTRA GÖTALANDS LÄN</t>
        </is>
      </c>
      <c r="G108" t="inlineStr">
        <is>
          <t>LIDKÖPING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46318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46318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46318</v>
      </c>
      <c r="F111" t="inlineStr">
        <is>
          <t>VÄSTRA GÖTALANDS LÄN</t>
        </is>
      </c>
      <c r="G111" t="inlineStr">
        <is>
          <t>LIDKÖPING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46318</v>
      </c>
      <c r="F112" t="inlineStr">
        <is>
          <t>VÄSTRA GÖTALANDS LÄN</t>
        </is>
      </c>
      <c r="G112" t="inlineStr">
        <is>
          <t>LIDKÖPING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46318</v>
      </c>
      <c r="F113" t="inlineStr">
        <is>
          <t>VÄSTRA GÖTALANDS LÄN</t>
        </is>
      </c>
      <c r="G113" t="inlineStr">
        <is>
          <t>LIDKÖPING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46318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45006</v>
      </c>
      <c r="E115" s="1" t="n">
        <v>46318</v>
      </c>
      <c r="F115" t="inlineStr">
        <is>
          <t>VÄSTRA GÖTALANDS LÄN</t>
        </is>
      </c>
      <c r="G115" t="inlineStr">
        <is>
          <t>LIDKÖPING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45375</v>
      </c>
      <c r="E116" s="1" t="n">
        <v>46318</v>
      </c>
      <c r="F116" t="inlineStr">
        <is>
          <t>VÄSTRA GÖTALANDS LÄN</t>
        </is>
      </c>
      <c r="G116" t="inlineStr">
        <is>
          <t>LIDKÖPING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46318</v>
      </c>
      <c r="F117" t="inlineStr">
        <is>
          <t>VÄSTRA GÖTALANDS LÄN</t>
        </is>
      </c>
      <c r="G117" t="inlineStr">
        <is>
          <t>LIDKÖPING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46318</v>
      </c>
      <c r="F118" t="inlineStr">
        <is>
          <t>VÄSTRA GÖTALANDS LÄN</t>
        </is>
      </c>
      <c r="G118" t="inlineStr">
        <is>
          <t>LIDKÖPING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46318</v>
      </c>
      <c r="F119" t="inlineStr">
        <is>
          <t>VÄSTRA GÖTALANDS LÄN</t>
        </is>
      </c>
      <c r="G119" t="inlineStr">
        <is>
          <t>LIDKÖPING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46318</v>
      </c>
      <c r="F120" t="inlineStr">
        <is>
          <t>VÄSTRA GÖTALANDS LÄN</t>
        </is>
      </c>
      <c r="G120" t="inlineStr">
        <is>
          <t>LIDKÖPING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45426</v>
      </c>
      <c r="E121" s="1" t="n">
        <v>46318</v>
      </c>
      <c r="F121" t="inlineStr">
        <is>
          <t>VÄSTRA GÖTALANDS LÄN</t>
        </is>
      </c>
      <c r="G121" t="inlineStr">
        <is>
          <t>LIDKÖPING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46318</v>
      </c>
      <c r="F122" t="inlineStr">
        <is>
          <t>VÄSTRA GÖTALANDS LÄN</t>
        </is>
      </c>
      <c r="G122" t="inlineStr">
        <is>
          <t>LIDKÖPING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46318</v>
      </c>
      <c r="F123" t="inlineStr">
        <is>
          <t>VÄSTRA GÖTALANDS LÄN</t>
        </is>
      </c>
      <c r="G123" t="inlineStr">
        <is>
          <t>LIDKÖPING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46318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Kyrkan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46318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46318</v>
      </c>
      <c r="F126" t="inlineStr">
        <is>
          <t>VÄSTRA GÖTALANDS LÄN</t>
        </is>
      </c>
      <c r="G126" t="inlineStr">
        <is>
          <t>LIDKÖPING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25814-2026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46178</v>
      </c>
      <c r="E127" s="1" t="n">
        <v>46318</v>
      </c>
      <c r="F127" t="inlineStr">
        <is>
          <t>VÄSTRA GÖTALANDS LÄN</t>
        </is>
      </c>
      <c r="G127" t="inlineStr">
        <is>
          <t>LIDKÖPING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46318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46318</v>
      </c>
      <c r="F129" t="inlineStr">
        <is>
          <t>VÄSTRA GÖTALANDS LÄN</t>
        </is>
      </c>
      <c r="G129" t="inlineStr">
        <is>
          <t>LIDKÖPING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46318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45649</v>
      </c>
      <c r="E131" s="1" t="n">
        <v>46318</v>
      </c>
      <c r="F131" t="inlineStr">
        <is>
          <t>VÄSTRA GÖTALANDS LÄN</t>
        </is>
      </c>
      <c r="G131" t="inlineStr">
        <is>
          <t>LIDKÖPING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46318</v>
      </c>
      <c r="F132" t="inlineStr">
        <is>
          <t>VÄSTRA GÖTALANDS LÄN</t>
        </is>
      </c>
      <c r="G132" t="inlineStr">
        <is>
          <t>LIDKÖPING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44819</v>
      </c>
      <c r="E133" s="1" t="n">
        <v>46318</v>
      </c>
      <c r="F133" t="inlineStr">
        <is>
          <t>VÄSTRA GÖTALANDS LÄN</t>
        </is>
      </c>
      <c r="G133" t="inlineStr">
        <is>
          <t>LIDKÖPING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46318</v>
      </c>
      <c r="F134" t="inlineStr">
        <is>
          <t>VÄSTRA GÖTALANDS LÄN</t>
        </is>
      </c>
      <c r="G134" t="inlineStr">
        <is>
          <t>LIDKÖPING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46318</v>
      </c>
      <c r="F135" t="inlineStr">
        <is>
          <t>VÄSTRA GÖTALANDS LÄN</t>
        </is>
      </c>
      <c r="G135" t="inlineStr">
        <is>
          <t>LIDKÖPING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45625</v>
      </c>
      <c r="E136" s="1" t="n">
        <v>46318</v>
      </c>
      <c r="F136" t="inlineStr">
        <is>
          <t>VÄSTRA GÖTALANDS LÄN</t>
        </is>
      </c>
      <c r="G136" t="inlineStr">
        <is>
          <t>LIDKÖPING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63778-2023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45278</v>
      </c>
      <c r="E137" s="1" t="n">
        <v>46318</v>
      </c>
      <c r="F137" t="inlineStr">
        <is>
          <t>VÄSTRA GÖTALANDS LÄN</t>
        </is>
      </c>
      <c r="G137" t="inlineStr">
        <is>
          <t>LIDKÖPING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53279-2023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45229</v>
      </c>
      <c r="E138" s="1" t="n">
        <v>46318</v>
      </c>
      <c r="F138" t="inlineStr">
        <is>
          <t>VÄSTRA GÖTALANDS LÄN</t>
        </is>
      </c>
      <c r="G138" t="inlineStr">
        <is>
          <t>LIDKÖPING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46318</v>
      </c>
      <c r="F139" t="inlineStr">
        <is>
          <t>VÄSTRA GÖTALANDS LÄN</t>
        </is>
      </c>
      <c r="G139" t="inlineStr">
        <is>
          <t>LIDKÖPING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46318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46318</v>
      </c>
      <c r="F141" t="inlineStr">
        <is>
          <t>VÄSTRA GÖTALANDS LÄN</t>
        </is>
      </c>
      <c r="G141" t="inlineStr">
        <is>
          <t>LIDKÖPING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46318</v>
      </c>
      <c r="F142" t="inlineStr">
        <is>
          <t>VÄSTRA GÖTALANDS LÄN</t>
        </is>
      </c>
      <c r="G142" t="inlineStr">
        <is>
          <t>LIDKÖPING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44902</v>
      </c>
      <c r="E143" s="1" t="n">
        <v>46318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46318</v>
      </c>
      <c r="F144" t="inlineStr">
        <is>
          <t>VÄSTRA GÖTALANDS LÄN</t>
        </is>
      </c>
      <c r="G144" t="inlineStr">
        <is>
          <t>LIDKÖPING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46318</v>
      </c>
      <c r="F145" t="inlineStr">
        <is>
          <t>VÄSTRA GÖTALANDS LÄN</t>
        </is>
      </c>
      <c r="G145" t="inlineStr">
        <is>
          <t>LIDKÖPING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53275-2023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45229</v>
      </c>
      <c r="E146" s="1" t="n">
        <v>46318</v>
      </c>
      <c r="F146" t="inlineStr">
        <is>
          <t>VÄSTRA GÖTALANDS LÄN</t>
        </is>
      </c>
      <c r="G146" t="inlineStr">
        <is>
          <t>LIDKÖPING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46318</v>
      </c>
      <c r="F147" t="inlineStr">
        <is>
          <t>VÄSTRA GÖTALANDS LÄN</t>
        </is>
      </c>
      <c r="G147" t="inlineStr">
        <is>
          <t>LIDKÖPING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46318</v>
      </c>
      <c r="F148" t="inlineStr">
        <is>
          <t>VÄSTRA GÖTALANDS LÄN</t>
        </is>
      </c>
      <c r="G148" t="inlineStr">
        <is>
          <t>LIDKÖPING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46318</v>
      </c>
      <c r="F149" t="inlineStr">
        <is>
          <t>VÄSTRA GÖTALANDS LÄN</t>
        </is>
      </c>
      <c r="G149" t="inlineStr">
        <is>
          <t>LIDKÖPING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45727</v>
      </c>
      <c r="E150" s="1" t="n">
        <v>46318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Kommuner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46318</v>
      </c>
      <c r="F151" t="inlineStr">
        <is>
          <t>VÄSTRA GÖTALANDS LÄN</t>
        </is>
      </c>
      <c r="G151" t="inlineStr">
        <is>
          <t>LIDKÖPING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46318</v>
      </c>
      <c r="F152" t="inlineStr">
        <is>
          <t>VÄSTRA GÖTALANDS LÄN</t>
        </is>
      </c>
      <c r="G152" t="inlineStr">
        <is>
          <t>LIDKÖPING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19840-2025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45771</v>
      </c>
      <c r="E153" s="1" t="n">
        <v>46318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46318</v>
      </c>
      <c r="F154" t="inlineStr">
        <is>
          <t>VÄSTRA GÖTALANDS LÄN</t>
        </is>
      </c>
      <c r="G154" t="inlineStr">
        <is>
          <t>LIDKÖPING</t>
        </is>
      </c>
      <c r="I154" t="n">
        <v>17.4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46318</v>
      </c>
      <c r="F155" t="inlineStr">
        <is>
          <t>VÄSTRA GÖTALANDS LÄN</t>
        </is>
      </c>
      <c r="G155" t="inlineStr">
        <is>
          <t>LIDKÖPING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46318</v>
      </c>
      <c r="F156" t="inlineStr">
        <is>
          <t>VÄSTRA GÖTALANDS LÄN</t>
        </is>
      </c>
      <c r="G156" t="inlineStr">
        <is>
          <t>LIDKÖPING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46318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46318</v>
      </c>
      <c r="F158" t="inlineStr">
        <is>
          <t>VÄSTRA GÖTALANDS LÄN</t>
        </is>
      </c>
      <c r="G158" t="inlineStr">
        <is>
          <t>LIDKÖPING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46318</v>
      </c>
      <c r="F159" t="inlineStr">
        <is>
          <t>VÄSTRA GÖTALANDS LÄN</t>
        </is>
      </c>
      <c r="G159" t="inlineStr">
        <is>
          <t>LIDKÖPING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46318</v>
      </c>
      <c r="F160" t="inlineStr">
        <is>
          <t>VÄSTRA GÖTALANDS LÄN</t>
        </is>
      </c>
      <c r="G160" t="inlineStr">
        <is>
          <t>LIDKÖPING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46318</v>
      </c>
      <c r="F161" t="inlineStr">
        <is>
          <t>VÄSTRA GÖTALANDS LÄN</t>
        </is>
      </c>
      <c r="G161" t="inlineStr">
        <is>
          <t>LIDKÖPING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46119</v>
      </c>
      <c r="E162" s="1" t="n">
        <v>46318</v>
      </c>
      <c r="F162" t="inlineStr">
        <is>
          <t>VÄSTRA GÖTALANDS LÄN</t>
        </is>
      </c>
      <c r="G162" t="inlineStr">
        <is>
          <t>LIDKÖPING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46318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Kommuner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59068-2023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45252</v>
      </c>
      <c r="E164" s="1" t="n">
        <v>46318</v>
      </c>
      <c r="F164" t="inlineStr">
        <is>
          <t>VÄSTRA GÖTALANDS LÄN</t>
        </is>
      </c>
      <c r="G164" t="inlineStr">
        <is>
          <t>LIDKÖPING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46318</v>
      </c>
      <c r="F165" t="inlineStr">
        <is>
          <t>VÄSTRA GÖTALANDS LÄN</t>
        </is>
      </c>
      <c r="G165" t="inlineStr">
        <is>
          <t>LIDKÖPING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46318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18979-2026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46318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45601</v>
      </c>
      <c r="E168" s="1" t="n">
        <v>46318</v>
      </c>
      <c r="F168" t="inlineStr">
        <is>
          <t>VÄSTRA GÖTALANDS LÄN</t>
        </is>
      </c>
      <c r="G168" t="inlineStr">
        <is>
          <t>LIDKÖPING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46318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46230</v>
      </c>
      <c r="E170" s="1" t="n">
        <v>46318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46318</v>
      </c>
      <c r="F171" t="inlineStr">
        <is>
          <t>VÄSTRA GÖTALANDS LÄN</t>
        </is>
      </c>
      <c r="G171" t="inlineStr">
        <is>
          <t>LIDKÖPING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46318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46318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45125</v>
      </c>
      <c r="E174" s="1" t="n">
        <v>46318</v>
      </c>
      <c r="F174" t="inlineStr">
        <is>
          <t>VÄSTRA GÖTALANDS LÄN</t>
        </is>
      </c>
      <c r="G174" t="inlineStr">
        <is>
          <t>LIDKÖPING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46280</v>
      </c>
      <c r="E175" s="1" t="n">
        <v>46318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46280</v>
      </c>
      <c r="E176" s="1" t="n">
        <v>46318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46318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46239</v>
      </c>
      <c r="E178" s="1" t="n">
        <v>46318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Kyrkan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46318</v>
      </c>
      <c r="F179" t="inlineStr">
        <is>
          <t>VÄSTRA GÖTALANDS LÄN</t>
        </is>
      </c>
      <c r="G179" t="inlineStr">
        <is>
          <t>LIDKÖPING</t>
        </is>
      </c>
      <c r="H179" t="inlineStr">
        <is>
          <t>Kyrkan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46318</v>
      </c>
      <c r="F180" t="inlineStr">
        <is>
          <t>VÄSTRA GÖTALANDS LÄN</t>
        </is>
      </c>
      <c r="G180" t="inlineStr">
        <is>
          <t>LIDKÖPING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46318</v>
      </c>
      <c r="F181" t="inlineStr">
        <is>
          <t>VÄSTRA GÖTALANDS LÄN</t>
        </is>
      </c>
      <c r="G181" t="inlineStr">
        <is>
          <t>LIDKÖPING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46318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46318</v>
      </c>
      <c r="F183" t="inlineStr">
        <is>
          <t>VÄSTRA GÖTALANDS LÄN</t>
        </is>
      </c>
      <c r="G183" t="inlineStr">
        <is>
          <t>LIDKÖPING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46244</v>
      </c>
      <c r="E184" s="1" t="n">
        <v>46318</v>
      </c>
      <c r="F184" t="inlineStr">
        <is>
          <t>VÄSTRA GÖTALANDS LÄN</t>
        </is>
      </c>
      <c r="G184" t="inlineStr">
        <is>
          <t>LIDKÖPING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46318</v>
      </c>
      <c r="F185" t="inlineStr">
        <is>
          <t>VÄSTRA GÖTALANDS LÄN</t>
        </is>
      </c>
      <c r="G185" t="inlineStr">
        <is>
          <t>LIDKÖPING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46318</v>
      </c>
      <c r="F186" t="inlineStr">
        <is>
          <t>VÄSTRA GÖTALANDS LÄN</t>
        </is>
      </c>
      <c r="G186" t="inlineStr">
        <is>
          <t>LIDKÖPING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46318</v>
      </c>
      <c r="F187" t="inlineStr">
        <is>
          <t>VÄSTRA GÖTALANDS LÄN</t>
        </is>
      </c>
      <c r="G187" t="inlineStr">
        <is>
          <t>LIDKÖPING</t>
        </is>
      </c>
      <c r="I187" t="n">
        <v>12.4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46318</v>
      </c>
      <c r="F188" t="inlineStr">
        <is>
          <t>VÄSTRA GÖTALANDS LÄN</t>
        </is>
      </c>
      <c r="G188" t="inlineStr">
        <is>
          <t>LIDKÖPING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39914-2026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46290</v>
      </c>
      <c r="E189" s="1" t="n">
        <v>46318</v>
      </c>
      <c r="F189" t="inlineStr">
        <is>
          <t>VÄSTRA GÖTALANDS LÄN</t>
        </is>
      </c>
      <c r="G189" t="inlineStr">
        <is>
          <t>LIDKÖPING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44767</v>
      </c>
      <c r="E190" s="1" t="n">
        <v>46318</v>
      </c>
      <c r="F190" t="inlineStr">
        <is>
          <t>VÄSTRA GÖTALANDS LÄN</t>
        </is>
      </c>
      <c r="G190" t="inlineStr">
        <is>
          <t>LIDKÖPING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46318</v>
      </c>
      <c r="F191" t="inlineStr">
        <is>
          <t>VÄSTRA GÖTALANDS LÄN</t>
        </is>
      </c>
      <c r="G191" t="inlineStr">
        <is>
          <t>LIDKÖPING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44998</v>
      </c>
      <c r="E192" s="1" t="n">
        <v>46318</v>
      </c>
      <c r="F192" t="inlineStr">
        <is>
          <t>VÄSTRA GÖTALANDS LÄN</t>
        </is>
      </c>
      <c r="G192" t="inlineStr">
        <is>
          <t>LIDKÖPING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33984-2026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46252</v>
      </c>
      <c r="E193" s="1" t="n">
        <v>46318</v>
      </c>
      <c r="F193" t="inlineStr">
        <is>
          <t>VÄSTRA GÖTALANDS LÄN</t>
        </is>
      </c>
      <c r="G193" t="inlineStr">
        <is>
          <t>LIDKÖPING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46253</v>
      </c>
      <c r="E194" s="1" t="n">
        <v>46318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46271</v>
      </c>
      <c r="E195" s="1" t="n">
        <v>46318</v>
      </c>
      <c r="F195" t="inlineStr">
        <is>
          <t>VÄSTRA GÖTALANDS LÄN</t>
        </is>
      </c>
      <c r="G195" t="inlineStr">
        <is>
          <t>LIDKÖPING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46318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46318</v>
      </c>
      <c r="F197" t="inlineStr">
        <is>
          <t>VÄSTRA GÖTALANDS LÄN</t>
        </is>
      </c>
      <c r="G197" t="inlineStr">
        <is>
          <t>LIDKÖPING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46318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46318</v>
      </c>
      <c r="F199" t="inlineStr">
        <is>
          <t>VÄSTRA GÖTALANDS LÄN</t>
        </is>
      </c>
      <c r="G199" t="inlineStr">
        <is>
          <t>LIDKÖPING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46318</v>
      </c>
      <c r="F200" t="inlineStr">
        <is>
          <t>VÄSTRA GÖTALANDS LÄN</t>
        </is>
      </c>
      <c r="G200" t="inlineStr">
        <is>
          <t>LIDKÖPING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62527-2021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46318</v>
      </c>
      <c r="F201" t="inlineStr">
        <is>
          <t>VÄSTRA GÖTALANDS LÄN</t>
        </is>
      </c>
      <c r="G201" t="inlineStr">
        <is>
          <t>LIDKÖPING</t>
        </is>
      </c>
      <c r="I201" t="n">
        <v>22.6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46318</v>
      </c>
      <c r="F202" t="inlineStr">
        <is>
          <t>VÄSTRA GÖTALANDS LÄN</t>
        </is>
      </c>
      <c r="G202" t="inlineStr">
        <is>
          <t>LIDKÖPING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45529</v>
      </c>
      <c r="E203" s="1" t="n">
        <v>46318</v>
      </c>
      <c r="F203" t="inlineStr">
        <is>
          <t>VÄSTRA GÖTALANDS LÄN</t>
        </is>
      </c>
      <c r="G203" t="inlineStr">
        <is>
          <t>LIDKÖPING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42028-2026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46304</v>
      </c>
      <c r="E204" s="1" t="n">
        <v>46318</v>
      </c>
      <c r="F204" t="inlineStr">
        <is>
          <t>VÄSTRA GÖTALANDS LÄN</t>
        </is>
      </c>
      <c r="G204" t="inlineStr">
        <is>
          <t>LIDKÖPING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45432</v>
      </c>
      <c r="E205" s="1" t="n">
        <v>46318</v>
      </c>
      <c r="F205" t="inlineStr">
        <is>
          <t>VÄSTRA GÖTALANDS LÄN</t>
        </is>
      </c>
      <c r="G205" t="inlineStr">
        <is>
          <t>LIDKÖPING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56413-2024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45623</v>
      </c>
      <c r="E206" s="1" t="n">
        <v>46318</v>
      </c>
      <c r="F206" t="inlineStr">
        <is>
          <t>VÄSTRA GÖTALANDS LÄN</t>
        </is>
      </c>
      <c r="G206" t="inlineStr">
        <is>
          <t>LIDKÖPING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45672</v>
      </c>
      <c r="E207" s="1" t="n">
        <v>46318</v>
      </c>
      <c r="F207" t="inlineStr">
        <is>
          <t>VÄSTRA GÖTALANDS LÄN</t>
        </is>
      </c>
      <c r="G207" t="inlineStr">
        <is>
          <t>LIDKÖPING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46318</v>
      </c>
      <c r="F208" t="inlineStr">
        <is>
          <t>VÄSTRA GÖTALANDS LÄN</t>
        </is>
      </c>
      <c r="G208" t="inlineStr">
        <is>
          <t>LIDKÖPING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46318</v>
      </c>
      <c r="F209" t="inlineStr">
        <is>
          <t>VÄSTRA GÖTALANDS LÄN</t>
        </is>
      </c>
      <c r="G209" t="inlineStr">
        <is>
          <t>LIDKÖPING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45538</v>
      </c>
      <c r="E210" s="1" t="n">
        <v>46318</v>
      </c>
      <c r="F210" t="inlineStr">
        <is>
          <t>VÄSTRA GÖTALANDS LÄN</t>
        </is>
      </c>
      <c r="G210" t="inlineStr">
        <is>
          <t>LIDKÖPING</t>
        </is>
      </c>
      <c r="H210" t="inlineStr">
        <is>
          <t>Kommuner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58393-2022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44901</v>
      </c>
      <c r="E211" s="1" t="n">
        <v>46318</v>
      </c>
      <c r="F211" t="inlineStr">
        <is>
          <t>VÄSTRA GÖTALANDS LÄN</t>
        </is>
      </c>
      <c r="G211" t="inlineStr">
        <is>
          <t>LIDKÖPING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34936-2026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46318</v>
      </c>
      <c r="F212" t="inlineStr">
        <is>
          <t>VÄSTRA GÖTALANDS LÄN</t>
        </is>
      </c>
      <c r="G212" t="inlineStr">
        <is>
          <t>LIDKÖPING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46318</v>
      </c>
      <c r="F213" t="inlineStr">
        <is>
          <t>VÄSTRA GÖTALANDS LÄN</t>
        </is>
      </c>
      <c r="G213" t="inlineStr">
        <is>
          <t>LIDKÖPING</t>
        </is>
      </c>
      <c r="I213" t="n">
        <v>9.300000000000001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44945</v>
      </c>
      <c r="E214" s="1" t="n">
        <v>46318</v>
      </c>
      <c r="F214" t="inlineStr">
        <is>
          <t>VÄSTRA GÖTALANDS LÄN</t>
        </is>
      </c>
      <c r="G214" t="inlineStr">
        <is>
          <t>LIDKÖPING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34945-2026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46259</v>
      </c>
      <c r="E215" s="1" t="n">
        <v>46318</v>
      </c>
      <c r="F215" t="inlineStr">
        <is>
          <t>VÄSTRA GÖTALANDS LÄN</t>
        </is>
      </c>
      <c r="G215" t="inlineStr">
        <is>
          <t>LIDKÖPING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46310</v>
      </c>
      <c r="E216" s="1" t="n">
        <v>46318</v>
      </c>
      <c r="F216" t="inlineStr">
        <is>
          <t>VÄSTRA GÖTALANDS LÄN</t>
        </is>
      </c>
      <c r="G216" t="inlineStr">
        <is>
          <t>LIDKÖPING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46310</v>
      </c>
      <c r="E217" s="1" t="n">
        <v>46318</v>
      </c>
      <c r="F217" t="inlineStr">
        <is>
          <t>VÄSTRA GÖTALANDS LÄN</t>
        </is>
      </c>
      <c r="G217" t="inlineStr">
        <is>
          <t>LIDKÖPING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46318</v>
      </c>
      <c r="F218" t="inlineStr">
        <is>
          <t>VÄSTRA GÖTALANDS LÄN</t>
        </is>
      </c>
      <c r="G218" t="inlineStr">
        <is>
          <t>LIDKÖPING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45233</v>
      </c>
      <c r="E219" s="1" t="n">
        <v>46318</v>
      </c>
      <c r="F219" t="inlineStr">
        <is>
          <t>VÄSTRA GÖTALANDS LÄN</t>
        </is>
      </c>
      <c r="G219" t="inlineStr">
        <is>
          <t>LIDKÖPING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45232</v>
      </c>
      <c r="E220" s="1" t="n">
        <v>46318</v>
      </c>
      <c r="F220" t="inlineStr">
        <is>
          <t>VÄSTRA GÖTALANDS LÄN</t>
        </is>
      </c>
      <c r="G220" t="inlineStr">
        <is>
          <t>LIDKÖPING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45538</v>
      </c>
      <c r="E221" s="1" t="n">
        <v>46318</v>
      </c>
      <c r="F221" t="inlineStr">
        <is>
          <t>VÄSTRA GÖTALANDS LÄN</t>
        </is>
      </c>
      <c r="G221" t="inlineStr">
        <is>
          <t>LIDKÖPING</t>
        </is>
      </c>
      <c r="H221" t="inlineStr">
        <is>
          <t>Kommuner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45623</v>
      </c>
      <c r="E222" s="1" t="n">
        <v>46318</v>
      </c>
      <c r="F222" t="inlineStr">
        <is>
          <t>VÄSTRA GÖTALANDS LÄN</t>
        </is>
      </c>
      <c r="G222" t="inlineStr">
        <is>
          <t>LIDKÖPING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45527</v>
      </c>
      <c r="E223" s="1" t="n">
        <v>46318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45462</v>
      </c>
      <c r="E224" s="1" t="n">
        <v>46318</v>
      </c>
      <c r="F224" t="inlineStr">
        <is>
          <t>VÄSTRA GÖTALANDS LÄN</t>
        </is>
      </c>
      <c r="G224" t="inlineStr">
        <is>
          <t>LIDKÖPING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45506</v>
      </c>
      <c r="E225" s="1" t="n">
        <v>46318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Kommuner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46318</v>
      </c>
      <c r="F226" t="inlineStr">
        <is>
          <t>VÄSTRA GÖTALANDS LÄN</t>
        </is>
      </c>
      <c r="G226" t="inlineStr">
        <is>
          <t>LIDKÖPING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3762-2024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45558</v>
      </c>
      <c r="E227" s="1" t="n">
        <v>46318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1807-2022</t>
        </is>
      </c>
      <c r="B228" t="inlineStr">
        <is>
          <t>samrådsanmälan</t>
        </is>
      </c>
      <c r="C228" t="inlineStr">
        <is>
          <t>Skogsbilväg</t>
        </is>
      </c>
      <c r="D228" s="1" t="n">
        <v>44656</v>
      </c>
      <c r="E228" s="1" t="n">
        <v>46318</v>
      </c>
      <c r="F228" t="inlineStr">
        <is>
          <t>VÄSTRA GÖTALANDS LÄN</t>
        </is>
      </c>
      <c r="G228" t="inlineStr">
        <is>
          <t>LIDKÖPING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46318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46318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46318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2026-10-23T02:03:54Z</dcterms:created>
  <dcterms:modified xmlns:dcterms="http://purl.org/dc/terms/" xmlns:xsi="http://www.w3.org/2001/XMLSchema-instance" xsi:type="dcterms:W3CDTF">2026-10-23T02:03:54Z</dcterms:modified>
</cp:coreProperties>
</file>