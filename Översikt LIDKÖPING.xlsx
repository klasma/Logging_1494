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46200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46200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46200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46200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46200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46200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46200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46200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41039-2025</t>
        </is>
      </c>
      <c r="B11" s="1" t="n">
        <v>45898</v>
      </c>
      <c r="C11" s="1" t="n">
        <v>46200</v>
      </c>
      <c r="D11" t="inlineStr">
        <is>
          <t>VÄSTRA GÖTALANDS LÄN</t>
        </is>
      </c>
      <c r="E11" t="inlineStr">
        <is>
          <t>LIDKÖPING</t>
        </is>
      </c>
      <c r="F11" t="inlineStr">
        <is>
          <t>Kommuner</t>
        </is>
      </c>
      <c r="G11" t="n">
        <v>1.4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Apelsinticka
Grovticka</t>
        </is>
      </c>
      <c r="S11">
        <f>HYPERLINK("https://klasma.github.io/Logging_1494/artfynd/A 41039-2025 artfynd.xlsx", "A 41039-2025")</f>
        <v/>
      </c>
      <c r="T11">
        <f>HYPERLINK("https://klasma.github.io/Logging_1494/kartor/A 41039-2025 karta.png", "A 41039-2025")</f>
        <v/>
      </c>
      <c r="V11">
        <f>HYPERLINK("https://klasma.github.io/Logging_1494/klagomål/A 41039-2025 FSC-klagomål.docx", "A 41039-2025")</f>
        <v/>
      </c>
      <c r="W11">
        <f>HYPERLINK("https://klasma.github.io/Logging_1494/klagomålsmail/A 41039-2025 FSC-klagomål mail.docx", "A 41039-2025")</f>
        <v/>
      </c>
      <c r="X11">
        <f>HYPERLINK("https://klasma.github.io/Logging_1494/tillsyn/A 41039-2025 tillsynsbegäran.docx", "A 41039-2025")</f>
        <v/>
      </c>
      <c r="Y11">
        <f>HYPERLINK("https://klasma.github.io/Logging_1494/tillsynsmail/A 41039-2025 tillsynsbegäran mail.docx", "A 41039-2025")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46200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</row>
    <row r="13" ht="15" customHeight="1">
      <c r="A13" t="inlineStr">
        <is>
          <t>A 44680-2023</t>
        </is>
      </c>
      <c r="B13" s="1" t="n">
        <v>45189</v>
      </c>
      <c r="C13" s="1" t="n">
        <v>46200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HYPERLINK("https://klasma.github.io/Logging_1494/artfynd/A 44680-2023 artfynd.xlsx", "A 44680-2023")</f>
        <v/>
      </c>
      <c r="T13">
        <f>HYPERLINK("https://klasma.github.io/Logging_1494/kartor/A 44680-2023 karta.png", "A 44680-2023")</f>
        <v/>
      </c>
      <c r="V13">
        <f>HYPERLINK("https://klasma.github.io/Logging_1494/klagomål/A 44680-2023 FSC-klagomål.docx", "A 44680-2023")</f>
        <v/>
      </c>
      <c r="W13">
        <f>HYPERLINK("https://klasma.github.io/Logging_1494/klagomålsmail/A 44680-2023 FSC-klagomål mail.docx", "A 44680-2023")</f>
        <v/>
      </c>
      <c r="X13">
        <f>HYPERLINK("https://klasma.github.io/Logging_1494/tillsyn/A 44680-2023 tillsynsbegäran.docx", "A 44680-2023")</f>
        <v/>
      </c>
      <c r="Y13">
        <f>HYPERLINK("https://klasma.github.io/Logging_1494/tillsynsmail/A 44680-2023 tillsynsbegäran mail.docx", "A 44680-2023")</f>
        <v/>
      </c>
      <c r="Z13">
        <f>HYPERLINK("https://klasma.github.io/Logging_1494/fåglar/A 44680-2023 prioriterade fågelarter.docx", "A 44680-2023")</f>
        <v/>
      </c>
    </row>
    <row r="14" ht="15" customHeight="1">
      <c r="A14" t="inlineStr">
        <is>
          <t>A 61818-2024</t>
        </is>
      </c>
      <c r="B14" s="1" t="n">
        <v>45649</v>
      </c>
      <c r="C14" s="1" t="n">
        <v>46200</v>
      </c>
      <c r="D14" t="inlineStr">
        <is>
          <t>VÄSTRA GÖTALANDS LÄN</t>
        </is>
      </c>
      <c r="E14" t="inlineStr">
        <is>
          <t>LIDKÖPING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HYPERLINK("https://klasma.github.io/Logging_1494/artfynd/A 61818-2024 artfynd.xlsx", "A 61818-2024")</f>
        <v/>
      </c>
      <c r="T14">
        <f>HYPERLINK("https://klasma.github.io/Logging_1494/kartor/A 61818-2024 karta.png", "A 61818-2024")</f>
        <v/>
      </c>
      <c r="V14">
        <f>HYPERLINK("https://klasma.github.io/Logging_1494/klagomål/A 61818-2024 FSC-klagomål.docx", "A 61818-2024")</f>
        <v/>
      </c>
      <c r="W14">
        <f>HYPERLINK("https://klasma.github.io/Logging_1494/klagomålsmail/A 61818-2024 FSC-klagomål mail.docx", "A 61818-2024")</f>
        <v/>
      </c>
      <c r="X14">
        <f>HYPERLINK("https://klasma.github.io/Logging_1494/tillsyn/A 61818-2024 tillsynsbegäran.docx", "A 61818-2024")</f>
        <v/>
      </c>
      <c r="Y14">
        <f>HYPERLINK("https://klasma.github.io/Logging_1494/tillsynsmail/A 61818-2024 tillsynsbegäran mail.docx", "A 61818-2024")</f>
        <v/>
      </c>
      <c r="Z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46200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s="1" t="n">
        <v>45797</v>
      </c>
      <c r="C16" s="1" t="n">
        <v>46200</v>
      </c>
      <c r="D16" t="inlineStr">
        <is>
          <t>VÄSTRA GÖTALANDS LÄN</t>
        </is>
      </c>
      <c r="E16" t="inlineStr">
        <is>
          <t>LIDKÖPING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HYPERLINK("https://klasma.github.io/Logging_1494/artfynd/A 24352-2025 artfynd.xlsx", "A 24352-2025")</f>
        <v/>
      </c>
      <c r="T16">
        <f>HYPERLINK("https://klasma.github.io/Logging_1494/kartor/A 24352-2025 karta.png", "A 24352-2025")</f>
        <v/>
      </c>
      <c r="V16">
        <f>HYPERLINK("https://klasma.github.io/Logging_1494/klagomål/A 24352-2025 FSC-klagomål.docx", "A 24352-2025")</f>
        <v/>
      </c>
      <c r="W16">
        <f>HYPERLINK("https://klasma.github.io/Logging_1494/klagomålsmail/A 24352-2025 FSC-klagomål mail.docx", "A 24352-2025")</f>
        <v/>
      </c>
      <c r="X16">
        <f>HYPERLINK("https://klasma.github.io/Logging_1494/tillsyn/A 24352-2025 tillsynsbegäran.docx", "A 24352-2025")</f>
        <v/>
      </c>
      <c r="Y16">
        <f>HYPERLINK("https://klasma.github.io/Logging_1494/tillsynsmail/A 24352-2025 tillsynsbegäran mail.docx", "A 24352-2025")</f>
        <v/>
      </c>
      <c r="Z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s="1" t="n">
        <v>44925</v>
      </c>
      <c r="C17" s="1" t="n">
        <v>46200</v>
      </c>
      <c r="D17" t="inlineStr">
        <is>
          <t>VÄSTRA GÖTALANDS LÄN</t>
        </is>
      </c>
      <c r="E17" t="inlineStr">
        <is>
          <t>LIDKÖPING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HYPERLINK("https://klasma.github.io/Logging_1494/artfynd/A 62629-2022 artfynd.xlsx", "A 62629-2022")</f>
        <v/>
      </c>
      <c r="T17">
        <f>HYPERLINK("https://klasma.github.io/Logging_1494/kartor/A 62629-2022 karta.png", "A 62629-2022")</f>
        <v/>
      </c>
      <c r="V17">
        <f>HYPERLINK("https://klasma.github.io/Logging_1494/klagomål/A 62629-2022 FSC-klagomål.docx", "A 62629-2022")</f>
        <v/>
      </c>
      <c r="W17">
        <f>HYPERLINK("https://klasma.github.io/Logging_1494/klagomålsmail/A 62629-2022 FSC-klagomål mail.docx", "A 62629-2022")</f>
        <v/>
      </c>
      <c r="X17">
        <f>HYPERLINK("https://klasma.github.io/Logging_1494/tillsyn/A 62629-2022 tillsynsbegäran.docx", "A 62629-2022")</f>
        <v/>
      </c>
      <c r="Y17">
        <f>HYPERLINK("https://klasma.github.io/Logging_1494/tillsynsmail/A 62629-2022 tillsynsbegäran mail.docx", "A 62629-2022")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46200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46200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46200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46200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46200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46200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46200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46200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46200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46200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46200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46200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46200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</v>
      </c>
      <c r="C31" s="1" t="n">
        <v>46200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</v>
      </c>
      <c r="C32" s="1" t="n">
        <v>46200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46200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46200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</v>
      </c>
      <c r="C35" s="1" t="n">
        <v>46200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58120-2021</t>
        </is>
      </c>
      <c r="B36" s="1" t="n">
        <v>44487</v>
      </c>
      <c r="C36" s="1" t="n">
        <v>46200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46200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46200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46200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</v>
      </c>
      <c r="C41" s="1" t="n">
        <v>46200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</v>
      </c>
      <c r="C42" s="1" t="n">
        <v>46200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50577-2024</t>
        </is>
      </c>
      <c r="B43" s="1" t="n">
        <v>45601</v>
      </c>
      <c r="C43" s="1" t="n">
        <v>46200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25762-2023</t>
        </is>
      </c>
      <c r="B44" s="1" t="n">
        <v>45090</v>
      </c>
      <c r="C44" s="1" t="n">
        <v>46200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8124-2023</t>
        </is>
      </c>
      <c r="B45" s="1" t="n">
        <v>44974</v>
      </c>
      <c r="C45" s="1" t="n">
        <v>46200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32952-2023</t>
        </is>
      </c>
      <c r="B46" s="1" t="n">
        <v>45125</v>
      </c>
      <c r="C46" s="1" t="n">
        <v>46200</v>
      </c>
      <c r="D46" t="inlineStr">
        <is>
          <t>VÄSTRA GÖTALANDS LÄN</t>
        </is>
      </c>
      <c r="E46" t="inlineStr">
        <is>
          <t>LIDKÖPING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</v>
      </c>
      <c r="C47" s="1" t="n">
        <v>46200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</v>
      </c>
      <c r="C48" s="1" t="n">
        <v>46200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60642-2023</t>
        </is>
      </c>
      <c r="B49" s="1" t="n">
        <v>45260</v>
      </c>
      <c r="C49" s="1" t="n">
        <v>46200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52999-2023</t>
        </is>
      </c>
      <c r="B50" s="1" t="n">
        <v>45226</v>
      </c>
      <c r="C50" s="1" t="n">
        <v>46200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43445-2023</t>
        </is>
      </c>
      <c r="B51" s="1" t="n">
        <v>45184</v>
      </c>
      <c r="C51" s="1" t="n">
        <v>46200</v>
      </c>
      <c r="D51" t="inlineStr">
        <is>
          <t>VÄSTRA GÖTALANDS LÄN</t>
        </is>
      </c>
      <c r="E51" t="inlineStr">
        <is>
          <t>LIDKÖPING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48301-2024</t>
        </is>
      </c>
      <c r="B52" s="1" t="n">
        <v>45590</v>
      </c>
      <c r="C52" s="1" t="n">
        <v>46200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46200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30399-2023</t>
        </is>
      </c>
      <c r="B54" s="1" t="n">
        <v>45111</v>
      </c>
      <c r="C54" s="1" t="n">
        <v>46200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7247-2025</t>
        </is>
      </c>
      <c r="B55" s="1" t="n">
        <v>45702</v>
      </c>
      <c r="C55" s="1" t="n">
        <v>46200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46200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61312-2023</t>
        </is>
      </c>
      <c r="B57" s="1" t="n">
        <v>45264</v>
      </c>
      <c r="C57" s="1" t="n">
        <v>46200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46200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24759-2023</t>
        </is>
      </c>
      <c r="B59" s="1" t="n">
        <v>45084</v>
      </c>
      <c r="C59" s="1" t="n">
        <v>46200</v>
      </c>
      <c r="D59" t="inlineStr">
        <is>
          <t>VÄSTRA GÖTALANDS LÄN</t>
        </is>
      </c>
      <c r="E59" t="inlineStr">
        <is>
          <t>LIDKÖPING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62541-2021</t>
        </is>
      </c>
      <c r="B60" s="1" t="n">
        <v>44503</v>
      </c>
      <c r="C60" s="1" t="n">
        <v>46200</v>
      </c>
      <c r="D60" t="inlineStr">
        <is>
          <t>VÄSTRA GÖTALANDS LÄN</t>
        </is>
      </c>
      <c r="E60" t="inlineStr">
        <is>
          <t>LIDKÖPING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46200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44849-2024</t>
        </is>
      </c>
      <c r="B62" s="1" t="n">
        <v>45574</v>
      </c>
      <c r="C62" s="1" t="n">
        <v>46200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59644-2023</t>
        </is>
      </c>
      <c r="B63" s="1" t="n">
        <v>45254</v>
      </c>
      <c r="C63" s="1" t="n">
        <v>46200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56365-2024</t>
        </is>
      </c>
      <c r="B64" s="1" t="n">
        <v>45625</v>
      </c>
      <c r="C64" s="1" t="n">
        <v>46200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30904-2022</t>
        </is>
      </c>
      <c r="B65" s="1" t="n">
        <v>44767</v>
      </c>
      <c r="C65" s="1" t="n">
        <v>46200</v>
      </c>
      <c r="D65" t="inlineStr">
        <is>
          <t>VÄSTRA GÖTALANDS LÄN</t>
        </is>
      </c>
      <c r="E65" t="inlineStr">
        <is>
          <t>LIDKÖPING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12175-2023</t>
        </is>
      </c>
      <c r="B66" s="1" t="n">
        <v>44998</v>
      </c>
      <c r="C66" s="1" t="n">
        <v>46200</v>
      </c>
      <c r="D66" t="inlineStr">
        <is>
          <t>VÄSTRA GÖTALANDS LÄN</t>
        </is>
      </c>
      <c r="E66" t="inlineStr">
        <is>
          <t>LIDKÖPING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11795-2024</t>
        </is>
      </c>
      <c r="B67" s="1" t="n">
        <v>45375</v>
      </c>
      <c r="C67" s="1" t="n">
        <v>46200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52853-2023</t>
        </is>
      </c>
      <c r="B68" s="1" t="n">
        <v>45226</v>
      </c>
      <c r="C68" s="1" t="n">
        <v>46200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46200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</v>
      </c>
      <c r="C70" s="1" t="n">
        <v>46200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8953-2023</t>
        </is>
      </c>
      <c r="B71" s="1" t="n">
        <v>44979</v>
      </c>
      <c r="C71" s="1" t="n">
        <v>46200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55974-2024</t>
        </is>
      </c>
      <c r="B72" s="1" t="n">
        <v>45623</v>
      </c>
      <c r="C72" s="1" t="n">
        <v>46200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48346-2024</t>
        </is>
      </c>
      <c r="B73" s="1" t="n">
        <v>45590</v>
      </c>
      <c r="C73" s="1" t="n">
        <v>46200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7212-2025</t>
        </is>
      </c>
      <c r="B74" s="1" t="n">
        <v>45702</v>
      </c>
      <c r="C74" s="1" t="n">
        <v>46200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39800-2022</t>
        </is>
      </c>
      <c r="B75" s="1" t="n">
        <v>44819</v>
      </c>
      <c r="C75" s="1" t="n">
        <v>46200</v>
      </c>
      <c r="D75" t="inlineStr">
        <is>
          <t>VÄSTRA GÖTALANDS LÄN</t>
        </is>
      </c>
      <c r="E75" t="inlineStr">
        <is>
          <t>LIDKÖPING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32395-2023</t>
        </is>
      </c>
      <c r="B76" s="1" t="n">
        <v>45120</v>
      </c>
      <c r="C76" s="1" t="n">
        <v>46200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</v>
      </c>
      <c r="C77" s="1" t="n">
        <v>46200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49755-2022</t>
        </is>
      </c>
      <c r="B78" s="1" t="n">
        <v>44859</v>
      </c>
      <c r="C78" s="1" t="n">
        <v>46200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63778-2023</t>
        </is>
      </c>
      <c r="B79" s="1" t="n">
        <v>45278</v>
      </c>
      <c r="C79" s="1" t="n">
        <v>46200</v>
      </c>
      <c r="D79" t="inlineStr">
        <is>
          <t>VÄSTRA GÖTALANDS LÄN</t>
        </is>
      </c>
      <c r="E79" t="inlineStr">
        <is>
          <t>LIDKÖPING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53279-2023</t>
        </is>
      </c>
      <c r="B80" s="1" t="n">
        <v>45229</v>
      </c>
      <c r="C80" s="1" t="n">
        <v>46200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</v>
      </c>
      <c r="C81" s="1" t="n">
        <v>46200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58620-2022</t>
        </is>
      </c>
      <c r="B82" s="1" t="n">
        <v>44902</v>
      </c>
      <c r="C82" s="1" t="n">
        <v>46200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46200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33209-2023</t>
        </is>
      </c>
      <c r="B84" s="1" t="n">
        <v>45127</v>
      </c>
      <c r="C84" s="1" t="n">
        <v>46200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35202-2023</t>
        </is>
      </c>
      <c r="B85" s="1" t="n">
        <v>45145</v>
      </c>
      <c r="C85" s="1" t="n">
        <v>46200</v>
      </c>
      <c r="D85" t="inlineStr">
        <is>
          <t>VÄSTRA GÖTALANDS LÄN</t>
        </is>
      </c>
      <c r="E85" t="inlineStr">
        <is>
          <t>LIDKÖPING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7760-2025</t>
        </is>
      </c>
      <c r="B86" s="1" t="n">
        <v>45706</v>
      </c>
      <c r="C86" s="1" t="n">
        <v>46200</v>
      </c>
      <c r="D86" t="inlineStr">
        <is>
          <t>VÄSTRA GÖTALANDS LÄN</t>
        </is>
      </c>
      <c r="E86" t="inlineStr">
        <is>
          <t>LIDKÖPING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2086-2025</t>
        </is>
      </c>
      <c r="B87" s="1" t="n">
        <v>45672</v>
      </c>
      <c r="C87" s="1" t="n">
        <v>46200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62527-2021</t>
        </is>
      </c>
      <c r="B88" s="1" t="n">
        <v>44503</v>
      </c>
      <c r="C88" s="1" t="n">
        <v>46200</v>
      </c>
      <c r="D88" t="inlineStr">
        <is>
          <t>VÄSTRA GÖTALANDS LÄN</t>
        </is>
      </c>
      <c r="E88" t="inlineStr">
        <is>
          <t>LIDKÖPING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</v>
      </c>
      <c r="C89" s="1" t="n">
        <v>46200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</v>
      </c>
      <c r="C90" s="1" t="n">
        <v>46200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7223-2025</t>
        </is>
      </c>
      <c r="B91" s="1" t="n">
        <v>45702</v>
      </c>
      <c r="C91" s="1" t="n">
        <v>46200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53764-2024</t>
        </is>
      </c>
      <c r="B92" s="1" t="n">
        <v>45615</v>
      </c>
      <c r="C92" s="1" t="n">
        <v>46200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3251-2025</t>
        </is>
      </c>
      <c r="B93" s="1" t="n">
        <v>45679</v>
      </c>
      <c r="C93" s="1" t="n">
        <v>46200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5577-2023</t>
        </is>
      </c>
      <c r="B94" s="1" t="n">
        <v>44960</v>
      </c>
      <c r="C94" s="1" t="n">
        <v>46200</v>
      </c>
      <c r="D94" t="inlineStr">
        <is>
          <t>VÄSTRA GÖTALANDS LÄN</t>
        </is>
      </c>
      <c r="E94" t="inlineStr">
        <is>
          <t>LIDKÖPING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30484-2023</t>
        </is>
      </c>
      <c r="B95" s="1" t="n">
        <v>45111</v>
      </c>
      <c r="C95" s="1" t="n">
        <v>46200</v>
      </c>
      <c r="D95" t="inlineStr">
        <is>
          <t>VÄSTRA GÖTALANDS LÄN</t>
        </is>
      </c>
      <c r="E95" t="inlineStr">
        <is>
          <t>LIDKÖPING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</v>
      </c>
      <c r="C96" s="1" t="n">
        <v>46200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60290-2024</t>
        </is>
      </c>
      <c r="B97" s="1" t="n">
        <v>45642</v>
      </c>
      <c r="C97" s="1" t="n">
        <v>46200</v>
      </c>
      <c r="D97" t="inlineStr">
        <is>
          <t>VÄSTRA GÖTALANDS LÄN</t>
        </is>
      </c>
      <c r="E97" t="inlineStr">
        <is>
          <t>LIDKÖPING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35112-2024</t>
        </is>
      </c>
      <c r="B98" s="1" t="n">
        <v>45529</v>
      </c>
      <c r="C98" s="1" t="n">
        <v>46200</v>
      </c>
      <c r="D98" t="inlineStr">
        <is>
          <t>VÄSTRA GÖTALANDS LÄN</t>
        </is>
      </c>
      <c r="E98" t="inlineStr">
        <is>
          <t>LIDKÖPING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7088-2025</t>
        </is>
      </c>
      <c r="B99" s="1" t="n">
        <v>45701</v>
      </c>
      <c r="C99" s="1" t="n">
        <v>46200</v>
      </c>
      <c r="D99" t="inlineStr">
        <is>
          <t>VÄSTRA GÖTALANDS LÄN</t>
        </is>
      </c>
      <c r="E99" t="inlineStr">
        <is>
          <t>LIDKÖPING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59068-2023</t>
        </is>
      </c>
      <c r="B100" s="1" t="n">
        <v>45252</v>
      </c>
      <c r="C100" s="1" t="n">
        <v>46200</v>
      </c>
      <c r="D100" t="inlineStr">
        <is>
          <t>VÄSTRA GÖTALANDS LÄN</t>
        </is>
      </c>
      <c r="E100" t="inlineStr">
        <is>
          <t>LIDKÖPING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46876-2022</t>
        </is>
      </c>
      <c r="B101" s="1" t="n">
        <v>44851</v>
      </c>
      <c r="C101" s="1" t="n">
        <v>46200</v>
      </c>
      <c r="D101" t="inlineStr">
        <is>
          <t>VÄSTRA GÖTALANDS LÄN</t>
        </is>
      </c>
      <c r="E101" t="inlineStr">
        <is>
          <t>LIDKÖPING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58420-2023</t>
        </is>
      </c>
      <c r="B102" s="1" t="n">
        <v>45250</v>
      </c>
      <c r="C102" s="1" t="n">
        <v>46200</v>
      </c>
      <c r="D102" t="inlineStr">
        <is>
          <t>VÄSTRA GÖTALANDS LÄN</t>
        </is>
      </c>
      <c r="E102" t="inlineStr">
        <is>
          <t>LIDKÖPING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19759-2024</t>
        </is>
      </c>
      <c r="B103" s="1" t="n">
        <v>45432</v>
      </c>
      <c r="C103" s="1" t="n">
        <v>46200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</v>
      </c>
      <c r="C104" s="1" t="n">
        <v>46200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56419-2024</t>
        </is>
      </c>
      <c r="B105" s="1" t="n">
        <v>45623</v>
      </c>
      <c r="C105" s="1" t="n">
        <v>46200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36945-2024</t>
        </is>
      </c>
      <c r="B106" s="1" t="n">
        <v>45538</v>
      </c>
      <c r="C106" s="1" t="n">
        <v>46200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8626-2024</t>
        </is>
      </c>
      <c r="B107" s="1" t="n">
        <v>45355</v>
      </c>
      <c r="C107" s="1" t="n">
        <v>46200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56413-2024</t>
        </is>
      </c>
      <c r="B108" s="1" t="n">
        <v>45623</v>
      </c>
      <c r="C108" s="1" t="n">
        <v>46200</v>
      </c>
      <c r="D108" t="inlineStr">
        <is>
          <t>VÄSTRA GÖTALANDS LÄN</t>
        </is>
      </c>
      <c r="E108" t="inlineStr">
        <is>
          <t>LIDKÖPING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17892-2025</t>
        </is>
      </c>
      <c r="B109" s="1" t="n">
        <v>45758</v>
      </c>
      <c r="C109" s="1" t="n">
        <v>46200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60112-2024</t>
        </is>
      </c>
      <c r="B110" s="1" t="n">
        <v>45642</v>
      </c>
      <c r="C110" s="1" t="n">
        <v>46200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1949-2025</t>
        </is>
      </c>
      <c r="B111" s="1" t="n">
        <v>45672</v>
      </c>
      <c r="C111" s="1" t="n">
        <v>46200</v>
      </c>
      <c r="D111" t="inlineStr">
        <is>
          <t>VÄSTRA GÖTALANDS LÄN</t>
        </is>
      </c>
      <c r="E111" t="inlineStr">
        <is>
          <t>LIDKÖPING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44308-2023</t>
        </is>
      </c>
      <c r="B112" s="1" t="n">
        <v>45188</v>
      </c>
      <c r="C112" s="1" t="n">
        <v>46200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696-2025</t>
        </is>
      </c>
      <c r="B113" s="1" t="n">
        <v>45665</v>
      </c>
      <c r="C113" s="1" t="n">
        <v>46200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</v>
      </c>
      <c r="C114" s="1" t="n">
        <v>46200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34779-2023</t>
        </is>
      </c>
      <c r="B115" s="1" t="n">
        <v>45141</v>
      </c>
      <c r="C115" s="1" t="n">
        <v>46200</v>
      </c>
      <c r="D115" t="inlineStr">
        <is>
          <t>VÄSTRA GÖTALANDS LÄN</t>
        </is>
      </c>
      <c r="E115" t="inlineStr">
        <is>
          <t>LIDKÖPING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60118-2024</t>
        </is>
      </c>
      <c r="B116" s="1" t="n">
        <v>45642</v>
      </c>
      <c r="C116" s="1" t="n">
        <v>46200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29433-2025</t>
        </is>
      </c>
      <c r="B117" s="1" t="n">
        <v>45824</v>
      </c>
      <c r="C117" s="1" t="n">
        <v>46200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36835-2024</t>
        </is>
      </c>
      <c r="B118" s="1" t="n">
        <v>45538</v>
      </c>
      <c r="C118" s="1" t="n">
        <v>46200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29495-2025</t>
        </is>
      </c>
      <c r="B119" s="1" t="n">
        <v>45824</v>
      </c>
      <c r="C119" s="1" t="n">
        <v>46200</v>
      </c>
      <c r="D119" t="inlineStr">
        <is>
          <t>VÄSTRA GÖTALANDS LÄN</t>
        </is>
      </c>
      <c r="E119" t="inlineStr">
        <is>
          <t>LIDKÖPING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13530-2023</t>
        </is>
      </c>
      <c r="B120" s="1" t="n">
        <v>45006</v>
      </c>
      <c r="C120" s="1" t="n">
        <v>46200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58393-2022</t>
        </is>
      </c>
      <c r="B121" s="1" t="n">
        <v>44901</v>
      </c>
      <c r="C121" s="1" t="n">
        <v>46200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35087-2024</t>
        </is>
      </c>
      <c r="B122" s="1" t="n">
        <v>45527</v>
      </c>
      <c r="C122" s="1" t="n">
        <v>46200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62551-2021</t>
        </is>
      </c>
      <c r="B123" s="1" t="n">
        <v>44503</v>
      </c>
      <c r="C123" s="1" t="n">
        <v>46200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2872-2023</t>
        </is>
      </c>
      <c r="B124" s="1" t="n">
        <v>44945</v>
      </c>
      <c r="C124" s="1" t="n">
        <v>46200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53769-2024</t>
        </is>
      </c>
      <c r="B125" s="1" t="n">
        <v>45615</v>
      </c>
      <c r="C125" s="1" t="n">
        <v>46200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</v>
      </c>
      <c r="C126" s="1" t="n">
        <v>46200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31844-2025</t>
        </is>
      </c>
      <c r="B127" s="1" t="n">
        <v>45834</v>
      </c>
      <c r="C127" s="1" t="n">
        <v>46200</v>
      </c>
      <c r="D127" t="inlineStr">
        <is>
          <t>VÄSTRA GÖTALANDS LÄN</t>
        </is>
      </c>
      <c r="E127" t="inlineStr">
        <is>
          <t>LIDKÖPING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31825-2025</t>
        </is>
      </c>
      <c r="B128" s="1" t="n">
        <v>45834</v>
      </c>
      <c r="C128" s="1" t="n">
        <v>46200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6102-2023</t>
        </is>
      </c>
      <c r="B129" s="1" t="n">
        <v>44964</v>
      </c>
      <c r="C129" s="1" t="n">
        <v>46200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18768-2024</t>
        </is>
      </c>
      <c r="B130" s="1" t="n">
        <v>45426</v>
      </c>
      <c r="C130" s="1" t="n">
        <v>46200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32355-2025</t>
        </is>
      </c>
      <c r="B131" s="1" t="n">
        <v>45837</v>
      </c>
      <c r="C131" s="1" t="n">
        <v>46200</v>
      </c>
      <c r="D131" t="inlineStr">
        <is>
          <t>VÄSTRA GÖTALANDS LÄN</t>
        </is>
      </c>
      <c r="E131" t="inlineStr">
        <is>
          <t>LIDKÖPING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11949-2023</t>
        </is>
      </c>
      <c r="B132" s="1" t="n">
        <v>44994</v>
      </c>
      <c r="C132" s="1" t="n">
        <v>46200</v>
      </c>
      <c r="D132" t="inlineStr">
        <is>
          <t>VÄSTRA GÖTALANDS LÄN</t>
        </is>
      </c>
      <c r="E132" t="inlineStr">
        <is>
          <t>LIDKÖPING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54582-2023</t>
        </is>
      </c>
      <c r="B133" s="1" t="n">
        <v>45233</v>
      </c>
      <c r="C133" s="1" t="n">
        <v>46200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54279-2023</t>
        </is>
      </c>
      <c r="B134" s="1" t="n">
        <v>45232</v>
      </c>
      <c r="C134" s="1" t="n">
        <v>46200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59069-2023</t>
        </is>
      </c>
      <c r="B135" s="1" t="n">
        <v>45252</v>
      </c>
      <c r="C135" s="1" t="n">
        <v>46200</v>
      </c>
      <c r="D135" t="inlineStr">
        <is>
          <t>VÄSTRA GÖTALANDS LÄN</t>
        </is>
      </c>
      <c r="E135" t="inlineStr">
        <is>
          <t>LIDKÖPING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26356-2025</t>
        </is>
      </c>
      <c r="B136" s="1" t="n">
        <v>45805</v>
      </c>
      <c r="C136" s="1" t="n">
        <v>46200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53814-2024</t>
        </is>
      </c>
      <c r="B137" s="1" t="n">
        <v>45615</v>
      </c>
      <c r="C137" s="1" t="n">
        <v>46200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36816-2024</t>
        </is>
      </c>
      <c r="B138" s="1" t="n">
        <v>45538</v>
      </c>
      <c r="C138" s="1" t="n">
        <v>46200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56740-2023</t>
        </is>
      </c>
      <c r="B139" s="1" t="n">
        <v>45244</v>
      </c>
      <c r="C139" s="1" t="n">
        <v>46200</v>
      </c>
      <c r="D139" t="inlineStr">
        <is>
          <t>VÄSTRA GÖTALANDS LÄN</t>
        </is>
      </c>
      <c r="E139" t="inlineStr">
        <is>
          <t>LIDKÖPING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46200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10524-2024</t>
        </is>
      </c>
      <c r="B141" s="1" t="n">
        <v>45366</v>
      </c>
      <c r="C141" s="1" t="n">
        <v>46200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9422-2024</t>
        </is>
      </c>
      <c r="B142" s="1" t="n">
        <v>45359</v>
      </c>
      <c r="C142" s="1" t="n">
        <v>46200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43460-2024</t>
        </is>
      </c>
      <c r="B143" s="1" t="n">
        <v>45568</v>
      </c>
      <c r="C143" s="1" t="n">
        <v>46200</v>
      </c>
      <c r="D143" t="inlineStr">
        <is>
          <t>VÄSTRA GÖTALANDS LÄN</t>
        </is>
      </c>
      <c r="E143" t="inlineStr">
        <is>
          <t>LIDKÖPING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35047-2024</t>
        </is>
      </c>
      <c r="B144" s="1" t="n">
        <v>45527</v>
      </c>
      <c r="C144" s="1" t="n">
        <v>46200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45608-2022</t>
        </is>
      </c>
      <c r="B145" s="1" t="n">
        <v>44845</v>
      </c>
      <c r="C145" s="1" t="n">
        <v>46200</v>
      </c>
      <c r="D145" t="inlineStr">
        <is>
          <t>VÄSTRA GÖTALANDS LÄN</t>
        </is>
      </c>
      <c r="E145" t="inlineStr">
        <is>
          <t>LIDKÖPING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</v>
      </c>
      <c r="C146" s="1" t="n">
        <v>46200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59010-2024</t>
        </is>
      </c>
      <c r="B147" s="1" t="n">
        <v>45635</v>
      </c>
      <c r="C147" s="1" t="n">
        <v>46200</v>
      </c>
      <c r="D147" t="inlineStr">
        <is>
          <t>VÄSTRA GÖTALANDS LÄN</t>
        </is>
      </c>
      <c r="E147" t="inlineStr">
        <is>
          <t>LIDKÖPING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36208-2025</t>
        </is>
      </c>
      <c r="B148" s="1" t="n">
        <v>45867</v>
      </c>
      <c r="C148" s="1" t="n">
        <v>46200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58672-2022</t>
        </is>
      </c>
      <c r="B149" s="1" t="n">
        <v>44902</v>
      </c>
      <c r="C149" s="1" t="n">
        <v>46200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37195-2025</t>
        </is>
      </c>
      <c r="B150" s="1" t="n">
        <v>45875</v>
      </c>
      <c r="C150" s="1" t="n">
        <v>46200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55897-2024</t>
        </is>
      </c>
      <c r="B151" s="1" t="n">
        <v>45622</v>
      </c>
      <c r="C151" s="1" t="n">
        <v>46200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48411-2022</t>
        </is>
      </c>
      <c r="B152" s="1" t="n">
        <v>44858</v>
      </c>
      <c r="C152" s="1" t="n">
        <v>46200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61817-2024</t>
        </is>
      </c>
      <c r="B153" s="1" t="n">
        <v>45649</v>
      </c>
      <c r="C153" s="1" t="n">
        <v>46200</v>
      </c>
      <c r="D153" t="inlineStr">
        <is>
          <t>VÄSTRA GÖTALANDS LÄN</t>
        </is>
      </c>
      <c r="E153" t="inlineStr">
        <is>
          <t>LIDKÖPING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12819-2022</t>
        </is>
      </c>
      <c r="B154" s="1" t="n">
        <v>44642</v>
      </c>
      <c r="C154" s="1" t="n">
        <v>46200</v>
      </c>
      <c r="D154" t="inlineStr">
        <is>
          <t>VÄSTRA GÖTALANDS LÄN</t>
        </is>
      </c>
      <c r="E154" t="inlineStr">
        <is>
          <t>LIDKÖPING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</v>
      </c>
      <c r="C155" s="1" t="n">
        <v>46200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</v>
      </c>
      <c r="C156" s="1" t="n">
        <v>46200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49909-2025</t>
        </is>
      </c>
      <c r="B157" s="1" t="n">
        <v>45940</v>
      </c>
      <c r="C157" s="1" t="n">
        <v>46200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56373-2024</t>
        </is>
      </c>
      <c r="B158" s="1" t="n">
        <v>45625</v>
      </c>
      <c r="C158" s="1" t="n">
        <v>46200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41163-2023</t>
        </is>
      </c>
      <c r="B159" s="1" t="n">
        <v>45174</v>
      </c>
      <c r="C159" s="1" t="n">
        <v>46200</v>
      </c>
      <c r="D159" t="inlineStr">
        <is>
          <t>VÄSTRA GÖTALANDS LÄN</t>
        </is>
      </c>
      <c r="E159" t="inlineStr">
        <is>
          <t>LIDKÖPING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52719-2025</t>
        </is>
      </c>
      <c r="B160" s="1" t="n">
        <v>45957</v>
      </c>
      <c r="C160" s="1" t="n">
        <v>46200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53805-2024</t>
        </is>
      </c>
      <c r="B161" s="1" t="n">
        <v>45615</v>
      </c>
      <c r="C161" s="1" t="n">
        <v>46200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52640-2025</t>
        </is>
      </c>
      <c r="B162" s="1" t="n">
        <v>45954</v>
      </c>
      <c r="C162" s="1" t="n">
        <v>46200</v>
      </c>
      <c r="D162" t="inlineStr">
        <is>
          <t>VÄSTRA GÖTALANDS LÄN</t>
        </is>
      </c>
      <c r="E162" t="inlineStr">
        <is>
          <t>LIDKÖPING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11393-2025</t>
        </is>
      </c>
      <c r="B163" s="1" t="n">
        <v>45726</v>
      </c>
      <c r="C163" s="1" t="n">
        <v>46200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53275-2025</t>
        </is>
      </c>
      <c r="B164" s="1" t="n">
        <v>45958</v>
      </c>
      <c r="C164" s="1" t="n">
        <v>46200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53274-2025</t>
        </is>
      </c>
      <c r="B165" s="1" t="n">
        <v>45958</v>
      </c>
      <c r="C165" s="1" t="n">
        <v>46200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46200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</v>
      </c>
      <c r="C167" s="1" t="n">
        <v>46200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</v>
      </c>
      <c r="C168" s="1" t="n">
        <v>46200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24356-2025</t>
        </is>
      </c>
      <c r="B169" s="1" t="n">
        <v>45797</v>
      </c>
      <c r="C169" s="1" t="n">
        <v>46200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53275-2023</t>
        </is>
      </c>
      <c r="B170" s="1" t="n">
        <v>45229</v>
      </c>
      <c r="C170" s="1" t="n">
        <v>46200</v>
      </c>
      <c r="D170" t="inlineStr">
        <is>
          <t>VÄSTRA GÖTALANDS LÄN</t>
        </is>
      </c>
      <c r="E170" t="inlineStr">
        <is>
          <t>LIDKÖPING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44104-2024</t>
        </is>
      </c>
      <c r="B171" s="1" t="n">
        <v>45572</v>
      </c>
      <c r="C171" s="1" t="n">
        <v>46200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11563-2025</t>
        </is>
      </c>
      <c r="B172" s="1" t="n">
        <v>45727</v>
      </c>
      <c r="C172" s="1" t="n">
        <v>46200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46200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59155-2025</t>
        </is>
      </c>
      <c r="B174" s="1" t="n">
        <v>45988</v>
      </c>
      <c r="C174" s="1" t="n">
        <v>46200</v>
      </c>
      <c r="D174" t="inlineStr">
        <is>
          <t>VÄSTRA GÖTALANDS LÄN</t>
        </is>
      </c>
      <c r="E174" t="inlineStr">
        <is>
          <t>LIDKÖPING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5514-2026</t>
        </is>
      </c>
      <c r="B175" s="1" t="n">
        <v>46050</v>
      </c>
      <c r="C175" s="1" t="n">
        <v>46200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7592-2026</t>
        </is>
      </c>
      <c r="B176" s="1" t="n">
        <v>46061</v>
      </c>
      <c r="C176" s="1" t="n">
        <v>46200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8936-2026</t>
        </is>
      </c>
      <c r="B177" s="1" t="n">
        <v>46069</v>
      </c>
      <c r="C177" s="1" t="n">
        <v>46200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9887-2026</t>
        </is>
      </c>
      <c r="B178" s="1" t="n">
        <v>46073</v>
      </c>
      <c r="C178" s="1" t="n">
        <v>46200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9738-2026</t>
        </is>
      </c>
      <c r="B179" s="1" t="n">
        <v>46072</v>
      </c>
      <c r="C179" s="1" t="n">
        <v>46200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14536-2026</t>
        </is>
      </c>
      <c r="B180" s="1" t="n">
        <v>46100</v>
      </c>
      <c r="C180" s="1" t="n">
        <v>46200</v>
      </c>
      <c r="D180" t="inlineStr">
        <is>
          <t>VÄSTRA GÖTALANDS LÄN</t>
        </is>
      </c>
      <c r="E180" t="inlineStr">
        <is>
          <t>LIDKÖPING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17533-2026</t>
        </is>
      </c>
      <c r="B181" s="1" t="n">
        <v>46120</v>
      </c>
      <c r="C181" s="1" t="n">
        <v>46200</v>
      </c>
      <c r="D181" t="inlineStr">
        <is>
          <t>VÄSTRA GÖTALANDS LÄN</t>
        </is>
      </c>
      <c r="E181" t="inlineStr">
        <is>
          <t>LIDKÖPING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17527-2026</t>
        </is>
      </c>
      <c r="B182" s="1" t="n">
        <v>46119</v>
      </c>
      <c r="C182" s="1" t="n">
        <v>46200</v>
      </c>
      <c r="D182" t="inlineStr">
        <is>
          <t>VÄSTRA GÖTALANDS LÄN</t>
        </is>
      </c>
      <c r="E182" t="inlineStr">
        <is>
          <t>LIDKÖPING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17495-2026</t>
        </is>
      </c>
      <c r="B183" s="1" t="n">
        <v>46120</v>
      </c>
      <c r="C183" s="1" t="n">
        <v>46200</v>
      </c>
      <c r="D183" t="inlineStr">
        <is>
          <t>VÄSTRA GÖTALANDS LÄN</t>
        </is>
      </c>
      <c r="E183" t="inlineStr">
        <is>
          <t>LIDKÖPING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17524-2026</t>
        </is>
      </c>
      <c r="B184" s="1" t="n">
        <v>46119</v>
      </c>
      <c r="C184" s="1" t="n">
        <v>46200</v>
      </c>
      <c r="D184" t="inlineStr">
        <is>
          <t>VÄSTRA GÖTALANDS LÄN</t>
        </is>
      </c>
      <c r="E184" t="inlineStr">
        <is>
          <t>LIDKÖPING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17958-2026</t>
        </is>
      </c>
      <c r="B185" s="1" t="n">
        <v>46122</v>
      </c>
      <c r="C185" s="1" t="n">
        <v>46200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18835-2026</t>
        </is>
      </c>
      <c r="B186" s="1" t="n">
        <v>46129</v>
      </c>
      <c r="C186" s="1" t="n">
        <v>46200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24279-2026</t>
        </is>
      </c>
      <c r="B187" s="1" t="n">
        <v>46169</v>
      </c>
      <c r="C187" s="1" t="n">
        <v>46200</v>
      </c>
      <c r="D187" t="inlineStr">
        <is>
          <t>VÄSTRA GÖTALANDS LÄN</t>
        </is>
      </c>
      <c r="E187" t="inlineStr">
        <is>
          <t>LIDKÖPING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24736-2026</t>
        </is>
      </c>
      <c r="B188" s="1" t="n">
        <v>46171</v>
      </c>
      <c r="C188" s="1" t="n">
        <v>46200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</v>
      </c>
      <c r="C189" s="1" t="n">
        <v>46200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18979-2026</t>
        </is>
      </c>
      <c r="B190" s="1" t="n">
        <v>46129</v>
      </c>
      <c r="C190" s="1" t="n">
        <v>46200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49997-2025</t>
        </is>
      </c>
      <c r="B191" s="1" t="n">
        <v>45943</v>
      </c>
      <c r="C191" s="1" t="n">
        <v>46200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15374-2025</t>
        </is>
      </c>
      <c r="B192" s="1" t="n">
        <v>45747</v>
      </c>
      <c r="C192" s="1" t="n">
        <v>46200</v>
      </c>
      <c r="D192" t="inlineStr">
        <is>
          <t>VÄSTRA GÖTALANDS LÄN</t>
        </is>
      </c>
      <c r="E192" t="inlineStr">
        <is>
          <t>LIDKÖPING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6913-2023</t>
        </is>
      </c>
      <c r="B193" s="1" t="n">
        <v>44967</v>
      </c>
      <c r="C193" s="1" t="n">
        <v>46200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</v>
      </c>
      <c r="C194" s="1" t="n">
        <v>46200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25814-2026</t>
        </is>
      </c>
      <c r="B195" s="1" t="n">
        <v>46178</v>
      </c>
      <c r="C195" s="1" t="n">
        <v>46200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26148-2026</t>
        </is>
      </c>
      <c r="B196" s="1" t="n">
        <v>46181</v>
      </c>
      <c r="C196" s="1" t="n">
        <v>46200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20614-2025</t>
        </is>
      </c>
      <c r="B197" s="1" t="n">
        <v>45776</v>
      </c>
      <c r="C197" s="1" t="n">
        <v>46200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24234-2025</t>
        </is>
      </c>
      <c r="B198" s="1" t="n">
        <v>45797</v>
      </c>
      <c r="C198" s="1" t="n">
        <v>46200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21017-2026</t>
        </is>
      </c>
      <c r="B199" s="1" t="n">
        <v>46144</v>
      </c>
      <c r="C199" s="1" t="n">
        <v>46200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27552-2026</t>
        </is>
      </c>
      <c r="B200" s="1" t="n">
        <v>46190</v>
      </c>
      <c r="C200" s="1" t="n">
        <v>46200</v>
      </c>
      <c r="D200" t="inlineStr">
        <is>
          <t>VÄSTRA GÖTALANDS LÄN</t>
        </is>
      </c>
      <c r="E200" t="inlineStr">
        <is>
          <t>LIDKÖPING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28068-2026</t>
        </is>
      </c>
      <c r="B201" s="1" t="n">
        <v>46195</v>
      </c>
      <c r="C201" s="1" t="n">
        <v>46200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28056-2026</t>
        </is>
      </c>
      <c r="B202" s="1" t="n">
        <v>46195</v>
      </c>
      <c r="C202" s="1" t="n">
        <v>46200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61405-2025</t>
        </is>
      </c>
      <c r="B203" s="1" t="n">
        <v>46001</v>
      </c>
      <c r="C203" s="1" t="n">
        <v>46200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Kyrkan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28309-2026</t>
        </is>
      </c>
      <c r="B204" s="1" t="n">
        <v>46196</v>
      </c>
      <c r="C204" s="1" t="n">
        <v>46200</v>
      </c>
      <c r="D204" t="inlineStr">
        <is>
          <t>VÄSTRA GÖTALANDS LÄN</t>
        </is>
      </c>
      <c r="E204" t="inlineStr">
        <is>
          <t>LIDKÖPING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2026-06-27T00:53:31Z</dcterms:created>
  <dcterms:modified xmlns:dcterms="http://purl.org/dc/terms/" xmlns:xsi="http://www.w3.org/2001/XMLSchema-instance" xsi:type="dcterms:W3CDTF">2026-06-27T00:53:31Z</dcterms:modified>
</cp:coreProperties>
</file>