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46282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46282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46282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46282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46282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34942-2026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46259</v>
      </c>
      <c r="E7" s="1" t="n">
        <v>46282</v>
      </c>
      <c r="F7" t="inlineStr">
        <is>
          <t>VÄSTRA GÖTALANDS LÄN</t>
        </is>
      </c>
      <c r="G7" t="inlineStr">
        <is>
          <t>LIDKÖPING</t>
        </is>
      </c>
      <c r="I7" t="n">
        <v>18.1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34942-2026 artfynd.xlsx", "A 34942-2026")</f>
        <v/>
      </c>
      <c r="X7">
        <f>HYPERLINK("https://klasma.github.io/Logging_1494/kartor/A 34942-2026 karta.png", "A 34942-2026")</f>
        <v/>
      </c>
      <c r="Y7">
        <f>HYPERLINK("https://klasma.github.io/Logging_1494/kartor_geotiff/A 34942-2026 georefererad karta.tif", "A 34942-2026")</f>
        <v/>
      </c>
      <c r="AA7">
        <f>HYPERLINK("https://klasma.github.io/Logging_1494/klagomål/A 34942-2026 FSC-klagomål.docx", "A 34942-2026")</f>
        <v/>
      </c>
      <c r="AB7">
        <f>HYPERLINK("https://klasma.github.io/Logging_1494/klagomålsmail/A 34942-2026 FSC-klagomål mail.docx", "A 34942-2026")</f>
        <v/>
      </c>
      <c r="AC7">
        <f>HYPERLINK("https://klasma.github.io/Logging_1494/tillsyn/A 34942-2026 tillsynsbegäran.docx", "A 34942-2026")</f>
        <v/>
      </c>
      <c r="AD7">
        <f>HYPERLINK("https://klasma.github.io/Logging_1494/tillsynsmail/A 34942-2026 tillsynsbegäran mail.docx", "A 34942-2026")</f>
        <v/>
      </c>
      <c r="AE7">
        <f>HYPERLINK("https://klasma.github.io/Logging_1494/fåglar/A 34942-2026 prioriterade fågelarter.docx", "A 34942-2026")</f>
        <v/>
      </c>
    </row>
    <row r="8" ht="15" customHeight="1">
      <c r="A8" t="inlineStr">
        <is>
          <t>A 32280-2022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44781</v>
      </c>
      <c r="E8" s="1" t="n">
        <v>46282</v>
      </c>
      <c r="F8" t="inlineStr">
        <is>
          <t>VÄSTRA GÖTALANDS LÄN</t>
        </is>
      </c>
      <c r="G8" t="inlineStr">
        <is>
          <t>LIDKÖPING</t>
        </is>
      </c>
      <c r="I8" t="n">
        <v>8.6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32280-2022 artfynd.xlsx", "A 32280-2022")</f>
        <v/>
      </c>
      <c r="X8">
        <f>HYPERLINK("https://klasma.github.io/Logging_1494/kartor/A 32280-2022 karta.png", "A 32280-2022")</f>
        <v/>
      </c>
      <c r="Y8">
        <f>HYPERLINK("https://klasma.github.io/Logging_1494/kartor_geotiff/A 32280-2022 georefererad karta.tif", "A 32280-2022")</f>
        <v/>
      </c>
      <c r="AA8">
        <f>HYPERLINK("https://klasma.github.io/Logging_1494/klagomål/A 32280-2022 FSC-klagomål.docx", "A 32280-2022")</f>
        <v/>
      </c>
      <c r="AB8">
        <f>HYPERLINK("https://klasma.github.io/Logging_1494/klagomålsmail/A 32280-2022 FSC-klagomål mail.docx", "A 32280-2022")</f>
        <v/>
      </c>
      <c r="AC8">
        <f>HYPERLINK("https://klasma.github.io/Logging_1494/tillsyn/A 32280-2022 tillsynsbegäran.docx", "A 32280-2022")</f>
        <v/>
      </c>
      <c r="AD8">
        <f>HYPERLINK("https://klasma.github.io/Logging_1494/tillsynsmail/A 32280-2022 tillsynsbegäran mail.docx", "A 32280-2022")</f>
        <v/>
      </c>
      <c r="AE8">
        <f>HYPERLINK("https://klasma.github.io/Logging_1494/fåglar/A 32280-2022 prioriterade fågelarter.docx", "A 32280-2022")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46282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46282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46282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46282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46282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46282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10476-2023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44987</v>
      </c>
      <c r="E15" s="1" t="n">
        <v>46282</v>
      </c>
      <c r="F15" t="inlineStr">
        <is>
          <t>VÄSTRA GÖTALANDS LÄN</t>
        </is>
      </c>
      <c r="G15" t="inlineStr">
        <is>
          <t>LIDKÖPING</t>
        </is>
      </c>
      <c r="I15" t="n">
        <v>2.2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HYPERLINK("https://klasma.github.io/Logging_1494/artfynd/A 10476-2023 artfynd.xlsx", "A 10476-2023")</f>
        <v/>
      </c>
      <c r="X15">
        <f>HYPERLINK("https://klasma.github.io/Logging_1494/kartor/A 10476-2023 karta.png", "A 10476-2023")</f>
        <v/>
      </c>
      <c r="Y15">
        <f>HYPERLINK("https://klasma.github.io/Logging_1494/kartor_geotiff/A 10476-2023 georefererad karta.tif", "A 10476-2023")</f>
        <v/>
      </c>
      <c r="AA15">
        <f>HYPERLINK("https://klasma.github.io/Logging_1494/klagomål/A 10476-2023 FSC-klagomål.docx", "A 10476-2023")</f>
        <v/>
      </c>
      <c r="AB15">
        <f>HYPERLINK("https://klasma.github.io/Logging_1494/klagomålsmail/A 10476-2023 FSC-klagomål mail.docx", "A 10476-2023")</f>
        <v/>
      </c>
      <c r="AC15">
        <f>HYPERLINK("https://klasma.github.io/Logging_1494/tillsyn/A 10476-2023 tillsynsbegäran.docx", "A 10476-2023")</f>
        <v/>
      </c>
      <c r="AD15">
        <f>HYPERLINK("https://klasma.github.io/Logging_1494/tillsynsmail/A 10476-2023 tillsynsbegäran mail.docx", "A 10476-2023")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46282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62629-2022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44925</v>
      </c>
      <c r="E17" s="1" t="n">
        <v>46282</v>
      </c>
      <c r="F17" t="inlineStr">
        <is>
          <t>VÄSTRA GÖTALANDS LÄN</t>
        </is>
      </c>
      <c r="G17" t="inlineStr">
        <is>
          <t>LIDKÖPING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HYPERLINK("https://klasma.github.io/Logging_1494/artfynd/A 62629-2022 artfynd.xlsx", "A 62629-2022")</f>
        <v/>
      </c>
      <c r="X17">
        <f>HYPERLINK("https://klasma.github.io/Logging_1494/kartor/A 62629-2022 karta.png", "A 62629-2022")</f>
        <v/>
      </c>
      <c r="Y17">
        <f>HYPERLINK("https://klasma.github.io/Logging_1494/kartor_geotiff/A 62629-2022 georefererad karta.tif", "A 62629-2022")</f>
        <v/>
      </c>
      <c r="AA17">
        <f>HYPERLINK("https://klasma.github.io/Logging_1494/klagomål/A 62629-2022 FSC-klagomål.docx", "A 62629-2022")</f>
        <v/>
      </c>
      <c r="AB17">
        <f>HYPERLINK("https://klasma.github.io/Logging_1494/klagomålsmail/A 62629-2022 FSC-klagomål mail.docx", "A 62629-2022")</f>
        <v/>
      </c>
      <c r="AC17">
        <f>HYPERLINK("https://klasma.github.io/Logging_1494/tillsyn/A 62629-2022 tillsynsbegäran.docx", "A 62629-2022")</f>
        <v/>
      </c>
      <c r="AD17">
        <f>HYPERLINK("https://klasma.github.io/Logging_1494/tillsynsmail/A 62629-2022 tillsynsbegäran mail.docx", "A 62629-2022")</f>
        <v/>
      </c>
    </row>
    <row r="18" ht="15" customHeight="1">
      <c r="A18" t="inlineStr">
        <is>
          <t>A 61818-2024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45649</v>
      </c>
      <c r="E18" s="1" t="n">
        <v>46282</v>
      </c>
      <c r="F18" t="inlineStr">
        <is>
          <t>VÄSTRA GÖTALANDS LÄN</t>
        </is>
      </c>
      <c r="G18" t="inlineStr">
        <is>
          <t>LIDKÖPING</t>
        </is>
      </c>
      <c r="I18" t="n">
        <v>6.2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Rödvingetrast</t>
        </is>
      </c>
      <c r="W18">
        <f>HYPERLINK("https://klasma.github.io/Logging_1494/artfynd/A 61818-2024 artfynd.xlsx", "A 61818-2024")</f>
        <v/>
      </c>
      <c r="X18">
        <f>HYPERLINK("https://klasma.github.io/Logging_1494/kartor/A 61818-2024 karta.png", "A 61818-2024")</f>
        <v/>
      </c>
      <c r="Y18">
        <f>HYPERLINK("https://klasma.github.io/Logging_1494/kartor_geotiff/A 61818-2024 georefererad karta.tif", "A 61818-2024")</f>
        <v/>
      </c>
      <c r="AA18">
        <f>HYPERLINK("https://klasma.github.io/Logging_1494/klagomål/A 61818-2024 FSC-klagomål.docx", "A 61818-2024")</f>
        <v/>
      </c>
      <c r="AB18">
        <f>HYPERLINK("https://klasma.github.io/Logging_1494/klagomålsmail/A 61818-2024 FSC-klagomål mail.docx", "A 61818-2024")</f>
        <v/>
      </c>
      <c r="AC18">
        <f>HYPERLINK("https://klasma.github.io/Logging_1494/tillsyn/A 61818-2024 tillsynsbegäran.docx", "A 61818-2024")</f>
        <v/>
      </c>
      <c r="AD18">
        <f>HYPERLINK("https://klasma.github.io/Logging_1494/tillsynsmail/A 61818-2024 tillsynsbegäran mail.docx", "A 61818-2024")</f>
        <v/>
      </c>
      <c r="AE18">
        <f>HYPERLINK("https://klasma.github.io/Logging_1494/fåglar/A 61818-2024 prioriterade fågelarter.docx", "A 61818-2024")</f>
        <v/>
      </c>
    </row>
    <row r="19" ht="15" customHeight="1">
      <c r="A19" t="inlineStr">
        <is>
          <t>A 62569-2022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44924</v>
      </c>
      <c r="E19" s="1" t="n">
        <v>46282</v>
      </c>
      <c r="F19" t="inlineStr">
        <is>
          <t>VÄSTRA GÖTALANDS LÄN</t>
        </is>
      </c>
      <c r="G19" t="inlineStr">
        <is>
          <t>LIDKÖPING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HYPERLINK("https://klasma.github.io/Logging_1494/artfynd/A 62569-2022 artfynd.xlsx", "A 62569-2022")</f>
        <v/>
      </c>
      <c r="X19">
        <f>HYPERLINK("https://klasma.github.io/Logging_1494/kartor/A 62569-2022 karta.png", "A 62569-2022")</f>
        <v/>
      </c>
      <c r="Y19">
        <f>HYPERLINK("https://klasma.github.io/Logging_1494/kartor_geotiff/A 62569-2022 georefererad karta.tif", "A 62569-2022")</f>
        <v/>
      </c>
      <c r="AA19">
        <f>HYPERLINK("https://klasma.github.io/Logging_1494/klagomål/A 62569-2022 FSC-klagomål.docx", "A 62569-2022")</f>
        <v/>
      </c>
      <c r="AB19">
        <f>HYPERLINK("https://klasma.github.io/Logging_1494/klagomålsmail/A 62569-2022 FSC-klagomål mail.docx", "A 62569-2022")</f>
        <v/>
      </c>
      <c r="AC19">
        <f>HYPERLINK("https://klasma.github.io/Logging_1494/tillsyn/A 62569-2022 tillsynsbegäran.docx", "A 62569-2022")</f>
        <v/>
      </c>
      <c r="AD19">
        <f>HYPERLINK("https://klasma.github.io/Logging_1494/tillsynsmail/A 62569-2022 tillsynsbegäran mail.docx", "A 62569-2022")</f>
        <v/>
      </c>
    </row>
    <row r="20" ht="15" customHeight="1">
      <c r="A20" t="inlineStr">
        <is>
          <t>A 37136-2026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46274</v>
      </c>
      <c r="E20" s="1" t="n">
        <v>46282</v>
      </c>
      <c r="F20" t="inlineStr">
        <is>
          <t>VÄSTRA GÖTALANDS LÄN</t>
        </is>
      </c>
      <c r="G20" t="inlineStr">
        <is>
          <t>LIDKÖPING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Fiskgjuse</t>
        </is>
      </c>
      <c r="W20">
        <f>HYPERLINK("https://klasma.github.io/Logging_1494/artfynd/A 37136-2026 artfynd.xlsx", "A 37136-2026")</f>
        <v/>
      </c>
      <c r="X20">
        <f>HYPERLINK("https://klasma.github.io/Logging_1494/kartor/A 37136-2026 karta.png", "A 37136-2026")</f>
        <v/>
      </c>
      <c r="Y20">
        <f>HYPERLINK("https://klasma.github.io/Logging_1494/kartor_geotiff/A 37136-2026 georefererad karta.tif", "A 37136-2026")</f>
        <v/>
      </c>
      <c r="AA20">
        <f>HYPERLINK("https://klasma.github.io/Logging_1494/klagomål/A 37136-2026 FSC-klagomål.docx", "A 37136-2026")</f>
        <v/>
      </c>
      <c r="AB20">
        <f>HYPERLINK("https://klasma.github.io/Logging_1494/klagomålsmail/A 37136-2026 FSC-klagomål mail.docx", "A 37136-2026")</f>
        <v/>
      </c>
      <c r="AC20">
        <f>HYPERLINK("https://klasma.github.io/Logging_1494/tillsyn/A 37136-2026 tillsynsbegäran.docx", "A 37136-2026")</f>
        <v/>
      </c>
      <c r="AD20">
        <f>HYPERLINK("https://klasma.github.io/Logging_1494/tillsynsmail/A 37136-2026 tillsynsbegäran mail.docx", "A 37136-2026")</f>
        <v/>
      </c>
      <c r="AE20">
        <f>HYPERLINK("https://klasma.github.io/Logging_1494/fåglar/A 37136-2026 prioriterade fågelarter.docx", "A 37136-2026")</f>
        <v/>
      </c>
    </row>
    <row r="21" ht="15" customHeight="1">
      <c r="A21" t="inlineStr">
        <is>
          <t>A 24352-2025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45797</v>
      </c>
      <c r="E21" s="1" t="n">
        <v>46282</v>
      </c>
      <c r="F21" t="inlineStr">
        <is>
          <t>VÄSTRA GÖTALANDS LÄN</t>
        </is>
      </c>
      <c r="G21" t="inlineStr">
        <is>
          <t>LIDKÖPING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HYPERLINK("https://klasma.github.io/Logging_1494/artfynd/A 24352-2025 artfynd.xlsx", "A 24352-2025")</f>
        <v/>
      </c>
      <c r="X21">
        <f>HYPERLINK("https://klasma.github.io/Logging_1494/kartor/A 24352-2025 karta.png", "A 24352-2025")</f>
        <v/>
      </c>
      <c r="Y21">
        <f>HYPERLINK("https://klasma.github.io/Logging_1494/kartor_geotiff/A 24352-2025 georefererad karta.tif", "A 24352-2025")</f>
        <v/>
      </c>
      <c r="AA21">
        <f>HYPERLINK("https://klasma.github.io/Logging_1494/klagomål/A 24352-2025 FSC-klagomål.docx", "A 24352-2025")</f>
        <v/>
      </c>
      <c r="AB21">
        <f>HYPERLINK("https://klasma.github.io/Logging_1494/klagomålsmail/A 24352-2025 FSC-klagomål mail.docx", "A 24352-2025")</f>
        <v/>
      </c>
      <c r="AC21">
        <f>HYPERLINK("https://klasma.github.io/Logging_1494/tillsyn/A 24352-2025 tillsynsbegäran.docx", "A 24352-2025")</f>
        <v/>
      </c>
      <c r="AD21">
        <f>HYPERLINK("https://klasma.github.io/Logging_1494/tillsynsmail/A 24352-2025 tillsynsbegäran mail.docx", "A 24352-2025")</f>
        <v/>
      </c>
      <c r="AE21">
        <f>HYPERLINK("https://klasma.github.io/Logging_1494/fåglar/A 24352-2025 prioriterade fågelarter.docx", "A 24352-2025")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46282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52954-2021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44466</v>
      </c>
      <c r="E23" s="1" t="n">
        <v>46282</v>
      </c>
      <c r="F23" t="inlineStr">
        <is>
          <t>VÄSTRA GÖTALANDS LÄN</t>
        </is>
      </c>
      <c r="G23" t="inlineStr">
        <is>
          <t>LIDKÖPING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46282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46282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46282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46282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46282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46282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46282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46282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46282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46282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46282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46282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46282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46282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46282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44806</v>
      </c>
      <c r="E39" s="1" t="n">
        <v>46282</v>
      </c>
      <c r="F39" t="inlineStr">
        <is>
          <t>VÄSTRA GÖTALANDS LÄN</t>
        </is>
      </c>
      <c r="G39" t="inlineStr">
        <is>
          <t>LIDKÖPING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46282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46282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46282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46282</v>
      </c>
      <c r="F43" t="inlineStr">
        <is>
          <t>VÄSTRA GÖTALANDS LÄN</t>
        </is>
      </c>
      <c r="G43" t="inlineStr">
        <is>
          <t>LIDKÖPING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60465-2024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46282</v>
      </c>
      <c r="F44" t="inlineStr">
        <is>
          <t>VÄSTRA GÖTALANDS LÄN</t>
        </is>
      </c>
      <c r="G44" t="inlineStr">
        <is>
          <t>LIDKÖPING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60642-2023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45260</v>
      </c>
      <c r="E45" s="1" t="n">
        <v>46282</v>
      </c>
      <c r="F45" t="inlineStr">
        <is>
          <t>VÄSTRA GÖTALANDS LÄN</t>
        </is>
      </c>
      <c r="G45" t="inlineStr">
        <is>
          <t>LIDKÖPING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46282</v>
      </c>
      <c r="F46" t="inlineStr">
        <is>
          <t>VÄSTRA GÖTALANDS LÄN</t>
        </is>
      </c>
      <c r="G46" t="inlineStr">
        <is>
          <t>LIDKÖPING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7247-2025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46282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30399-2023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45111</v>
      </c>
      <c r="E48" s="1" t="n">
        <v>46282</v>
      </c>
      <c r="F48" t="inlineStr">
        <is>
          <t>VÄSTRA GÖTALANDS LÄN</t>
        </is>
      </c>
      <c r="G48" t="inlineStr">
        <is>
          <t>LIDKÖPING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19840-2025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45771</v>
      </c>
      <c r="E49" s="1" t="n">
        <v>46282</v>
      </c>
      <c r="F49" t="inlineStr">
        <is>
          <t>VÄSTRA GÖTALANDS LÄN</t>
        </is>
      </c>
      <c r="G49" t="inlineStr">
        <is>
          <t>LIDKÖPING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48411-2022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44858</v>
      </c>
      <c r="E50" s="1" t="n">
        <v>46282</v>
      </c>
      <c r="F50" t="inlineStr">
        <is>
          <t>VÄSTRA GÖTALANDS LÄN</t>
        </is>
      </c>
      <c r="G50" t="inlineStr">
        <is>
          <t>LIDKÖPING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11795-2024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45375</v>
      </c>
      <c r="E51" s="1" t="n">
        <v>46282</v>
      </c>
      <c r="F51" t="inlineStr">
        <is>
          <t>VÄSTRA GÖTALANDS LÄN</t>
        </is>
      </c>
      <c r="G51" t="inlineStr">
        <is>
          <t>LIDKÖPING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58420-2023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45250</v>
      </c>
      <c r="E52" s="1" t="n">
        <v>46282</v>
      </c>
      <c r="F52" t="inlineStr">
        <is>
          <t>VÄSTRA GÖTALANDS LÄN</t>
        </is>
      </c>
      <c r="G52" t="inlineStr">
        <is>
          <t>LIDKÖPING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36945-2024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45538</v>
      </c>
      <c r="E53" s="1" t="n">
        <v>46282</v>
      </c>
      <c r="F53" t="inlineStr">
        <is>
          <t>VÄSTRA GÖTALANDS LÄN</t>
        </is>
      </c>
      <c r="G53" t="inlineStr">
        <is>
          <t>LIDKÖPING</t>
        </is>
      </c>
      <c r="H53" t="inlineStr">
        <is>
          <t>Kommuner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55974-2024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45623</v>
      </c>
      <c r="E54" s="1" t="n">
        <v>46282</v>
      </c>
      <c r="F54" t="inlineStr">
        <is>
          <t>VÄSTRA GÖTALANDS LÄN</t>
        </is>
      </c>
      <c r="G54" t="inlineStr">
        <is>
          <t>LIDKÖPING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17892-2025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45758</v>
      </c>
      <c r="E55" s="1" t="n">
        <v>46282</v>
      </c>
      <c r="F55" t="inlineStr">
        <is>
          <t>VÄSTRA GÖTALANDS LÄN</t>
        </is>
      </c>
      <c r="G55" t="inlineStr">
        <is>
          <t>LIDKÖPING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45590</v>
      </c>
      <c r="E56" s="1" t="n">
        <v>46282</v>
      </c>
      <c r="F56" t="inlineStr">
        <is>
          <t>VÄSTRA GÖTALANDS LÄN</t>
        </is>
      </c>
      <c r="G56" t="inlineStr">
        <is>
          <t>LIDKÖPING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39800-2022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44819</v>
      </c>
      <c r="E57" s="1" t="n">
        <v>46282</v>
      </c>
      <c r="F57" t="inlineStr">
        <is>
          <t>VÄSTRA GÖTALANDS LÄN</t>
        </is>
      </c>
      <c r="G57" t="inlineStr">
        <is>
          <t>LIDKÖPING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45824</v>
      </c>
      <c r="E58" s="1" t="n">
        <v>46282</v>
      </c>
      <c r="F58" t="inlineStr">
        <is>
          <t>VÄSTRA GÖTALANDS LÄN</t>
        </is>
      </c>
      <c r="G58" t="inlineStr">
        <is>
          <t>LIDKÖPING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49755-2022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46282</v>
      </c>
      <c r="F59" t="inlineStr">
        <is>
          <t>VÄSTRA GÖTALANDS LÄN</t>
        </is>
      </c>
      <c r="G59" t="inlineStr">
        <is>
          <t>LIDKÖPING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63778-2023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45278</v>
      </c>
      <c r="E60" s="1" t="n">
        <v>46282</v>
      </c>
      <c r="F60" t="inlineStr">
        <is>
          <t>VÄSTRA GÖTALANDS LÄN</t>
        </is>
      </c>
      <c r="G60" t="inlineStr">
        <is>
          <t>LIDKÖPING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53279-2023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45229</v>
      </c>
      <c r="E61" s="1" t="n">
        <v>46282</v>
      </c>
      <c r="F61" t="inlineStr">
        <is>
          <t>VÄSTRA GÖTALANDS LÄN</t>
        </is>
      </c>
      <c r="G61" t="inlineStr">
        <is>
          <t>LIDKÖPING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44928</v>
      </c>
      <c r="E62" s="1" t="n">
        <v>46282</v>
      </c>
      <c r="F62" t="inlineStr">
        <is>
          <t>VÄSTRA GÖTALANDS LÄN</t>
        </is>
      </c>
      <c r="G62" t="inlineStr">
        <is>
          <t>LIDKÖPING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58620-2022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44902</v>
      </c>
      <c r="E63" s="1" t="n">
        <v>46282</v>
      </c>
      <c r="F63" t="inlineStr">
        <is>
          <t>VÄSTRA GÖTALANDS LÄN</t>
        </is>
      </c>
      <c r="G63" t="inlineStr">
        <is>
          <t>LIDKÖPING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31844-2025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45834</v>
      </c>
      <c r="E64" s="1" t="n">
        <v>46282</v>
      </c>
      <c r="F64" t="inlineStr">
        <is>
          <t>VÄSTRA GÖTALANDS LÄN</t>
        </is>
      </c>
      <c r="G64" t="inlineStr">
        <is>
          <t>LIDKÖPING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31825-2025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45834</v>
      </c>
      <c r="E65" s="1" t="n">
        <v>46282</v>
      </c>
      <c r="F65" t="inlineStr">
        <is>
          <t>VÄSTRA GÖTALANDS LÄN</t>
        </is>
      </c>
      <c r="G65" t="inlineStr">
        <is>
          <t>LIDKÖPING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45670</v>
      </c>
      <c r="E66" s="1" t="n">
        <v>46282</v>
      </c>
      <c r="F66" t="inlineStr">
        <is>
          <t>VÄSTRA GÖTALANDS LÄN</t>
        </is>
      </c>
      <c r="G66" t="inlineStr">
        <is>
          <t>LIDKÖPING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37169-2022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46282</v>
      </c>
      <c r="F67" t="inlineStr">
        <is>
          <t>VÄSTRA GÖTALANDS LÄN</t>
        </is>
      </c>
      <c r="G67" t="inlineStr">
        <is>
          <t>LIDKÖPING</t>
        </is>
      </c>
      <c r="I67" t="n">
        <v>17.4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32355-2025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45837</v>
      </c>
      <c r="E68" s="1" t="n">
        <v>46282</v>
      </c>
      <c r="F68" t="inlineStr">
        <is>
          <t>VÄSTRA GÖTALANDS LÄN</t>
        </is>
      </c>
      <c r="G68" t="inlineStr">
        <is>
          <t>LIDKÖPING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59069-2023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45252</v>
      </c>
      <c r="E69" s="1" t="n">
        <v>46282</v>
      </c>
      <c r="F69" t="inlineStr">
        <is>
          <t>VÄSTRA GÖTALANDS LÄN</t>
        </is>
      </c>
      <c r="G69" t="inlineStr">
        <is>
          <t>LIDKÖPING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45702</v>
      </c>
      <c r="E70" s="1" t="n">
        <v>46282</v>
      </c>
      <c r="F70" t="inlineStr">
        <is>
          <t>VÄSTRA GÖTALANDS LÄN</t>
        </is>
      </c>
      <c r="G70" t="inlineStr">
        <is>
          <t>LIDKÖPING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26356-2025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46282</v>
      </c>
      <c r="F71" t="inlineStr">
        <is>
          <t>VÄSTRA GÖTALANDS LÄN</t>
        </is>
      </c>
      <c r="G71" t="inlineStr">
        <is>
          <t>LIDKÖPING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59068-2023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45252</v>
      </c>
      <c r="E72" s="1" t="n">
        <v>46282</v>
      </c>
      <c r="F72" t="inlineStr">
        <is>
          <t>VÄSTRA GÖTALANDS LÄN</t>
        </is>
      </c>
      <c r="G72" t="inlineStr">
        <is>
          <t>LIDKÖPING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7248-2025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46282</v>
      </c>
      <c r="F73" t="inlineStr">
        <is>
          <t>VÄSTRA GÖTALANDS LÄN</t>
        </is>
      </c>
      <c r="G73" t="inlineStr">
        <is>
          <t>LIDKÖPING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50577-2024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45601</v>
      </c>
      <c r="E74" s="1" t="n">
        <v>46282</v>
      </c>
      <c r="F74" t="inlineStr">
        <is>
          <t>VÄSTRA GÖTALANDS LÄN</t>
        </is>
      </c>
      <c r="G74" t="inlineStr">
        <is>
          <t>LIDKÖPING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12819-2022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44642</v>
      </c>
      <c r="E75" s="1" t="n">
        <v>46282</v>
      </c>
      <c r="F75" t="inlineStr">
        <is>
          <t>VÄSTRA GÖTALANDS LÄN</t>
        </is>
      </c>
      <c r="G75" t="inlineStr">
        <is>
          <t>LIDKÖPING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25762-2023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45090</v>
      </c>
      <c r="E76" s="1" t="n">
        <v>46282</v>
      </c>
      <c r="F76" t="inlineStr">
        <is>
          <t>VÄSTRA GÖTALANDS LÄN</t>
        </is>
      </c>
      <c r="G76" t="inlineStr">
        <is>
          <t>LIDKÖPING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36208-2025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45867</v>
      </c>
      <c r="E77" s="1" t="n">
        <v>46282</v>
      </c>
      <c r="F77" t="inlineStr">
        <is>
          <t>VÄSTRA GÖTALANDS LÄN</t>
        </is>
      </c>
      <c r="G77" t="inlineStr">
        <is>
          <t>LIDKÖPING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45940</v>
      </c>
      <c r="E78" s="1" t="n">
        <v>46282</v>
      </c>
      <c r="F78" t="inlineStr">
        <is>
          <t>VÄSTRA GÖTALANDS LÄN</t>
        </is>
      </c>
      <c r="G78" t="inlineStr">
        <is>
          <t>LIDKÖPING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37195-2025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45875</v>
      </c>
      <c r="E79" s="1" t="n">
        <v>46282</v>
      </c>
      <c r="F79" t="inlineStr">
        <is>
          <t>VÄSTRA GÖTALANDS LÄN</t>
        </is>
      </c>
      <c r="G79" t="inlineStr">
        <is>
          <t>LIDKÖPING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49909-2025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45940</v>
      </c>
      <c r="E80" s="1" t="n">
        <v>46282</v>
      </c>
      <c r="F80" t="inlineStr">
        <is>
          <t>VÄSTRA GÖTALANDS LÄN</t>
        </is>
      </c>
      <c r="G80" t="inlineStr">
        <is>
          <t>LIDKÖPING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32952-2023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45125</v>
      </c>
      <c r="E81" s="1" t="n">
        <v>46282</v>
      </c>
      <c r="F81" t="inlineStr">
        <is>
          <t>VÄSTRA GÖTALANDS LÄN</t>
        </is>
      </c>
      <c r="G81" t="inlineStr">
        <is>
          <t>LIDKÖPING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5514-2026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46050</v>
      </c>
      <c r="E82" s="1" t="n">
        <v>46282</v>
      </c>
      <c r="F82" t="inlineStr">
        <is>
          <t>VÄSTRA GÖTALANDS LÄN</t>
        </is>
      </c>
      <c r="G82" t="inlineStr">
        <is>
          <t>LIDKÖPING</t>
        </is>
      </c>
      <c r="H82" t="inlineStr">
        <is>
          <t>Kyrkan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52719-2025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46282</v>
      </c>
      <c r="F83" t="inlineStr">
        <is>
          <t>VÄSTRA GÖTALANDS LÄN</t>
        </is>
      </c>
      <c r="G83" t="inlineStr">
        <is>
          <t>LIDKÖPING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43445-2023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45184</v>
      </c>
      <c r="E84" s="1" t="n">
        <v>46282</v>
      </c>
      <c r="F84" t="inlineStr">
        <is>
          <t>VÄSTRA GÖTALANDS LÄN</t>
        </is>
      </c>
      <c r="G84" t="inlineStr">
        <is>
          <t>LIDKÖPING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52640-2025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45954</v>
      </c>
      <c r="E85" s="1" t="n">
        <v>46282</v>
      </c>
      <c r="F85" t="inlineStr">
        <is>
          <t>VÄSTRA GÖTALANDS LÄN</t>
        </is>
      </c>
      <c r="G85" t="inlineStr">
        <is>
          <t>LIDKÖPING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53275-2025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45958</v>
      </c>
      <c r="E86" s="1" t="n">
        <v>46282</v>
      </c>
      <c r="F86" t="inlineStr">
        <is>
          <t>VÄSTRA GÖTALANDS LÄN</t>
        </is>
      </c>
      <c r="G86" t="inlineStr">
        <is>
          <t>LIDKÖPING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45958</v>
      </c>
      <c r="E87" s="1" t="n">
        <v>46282</v>
      </c>
      <c r="F87" t="inlineStr">
        <is>
          <t>VÄSTRA GÖTALANDS LÄN</t>
        </is>
      </c>
      <c r="G87" t="inlineStr">
        <is>
          <t>LIDKÖPING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37098-2023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45155</v>
      </c>
      <c r="E88" s="1" t="n">
        <v>46282</v>
      </c>
      <c r="F88" t="inlineStr">
        <is>
          <t>VÄSTRA GÖTALANDS LÄN</t>
        </is>
      </c>
      <c r="G88" t="inlineStr">
        <is>
          <t>LIDKÖPING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54191-2025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45964</v>
      </c>
      <c r="E89" s="1" t="n">
        <v>46282</v>
      </c>
      <c r="F89" t="inlineStr">
        <is>
          <t>VÄSTRA GÖTALANDS LÄN</t>
        </is>
      </c>
      <c r="G89" t="inlineStr">
        <is>
          <t>LIDKÖPING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7592-2026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46061</v>
      </c>
      <c r="E90" s="1" t="n">
        <v>46282</v>
      </c>
      <c r="F90" t="inlineStr">
        <is>
          <t>VÄSTRA GÖTALANDS LÄN</t>
        </is>
      </c>
      <c r="G90" t="inlineStr">
        <is>
          <t>LIDKÖPING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61312-2023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45264</v>
      </c>
      <c r="E91" s="1" t="n">
        <v>46282</v>
      </c>
      <c r="F91" t="inlineStr">
        <is>
          <t>VÄSTRA GÖTALANDS LÄN</t>
        </is>
      </c>
      <c r="G91" t="inlineStr">
        <is>
          <t>LIDKÖPING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9738-2026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46072</v>
      </c>
      <c r="E92" s="1" t="n">
        <v>46282</v>
      </c>
      <c r="F92" t="inlineStr">
        <is>
          <t>VÄSTRA GÖTALANDS LÄN</t>
        </is>
      </c>
      <c r="G92" t="inlineStr">
        <is>
          <t>LIDKÖPING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30904-2022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44767</v>
      </c>
      <c r="E93" s="1" t="n">
        <v>46282</v>
      </c>
      <c r="F93" t="inlineStr">
        <is>
          <t>VÄSTRA GÖTALANDS LÄN</t>
        </is>
      </c>
      <c r="G93" t="inlineStr">
        <is>
          <t>LIDKÖPING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12175-2023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44998</v>
      </c>
      <c r="E94" s="1" t="n">
        <v>46282</v>
      </c>
      <c r="F94" t="inlineStr">
        <is>
          <t>VÄSTRA GÖTALANDS LÄN</t>
        </is>
      </c>
      <c r="G94" t="inlineStr">
        <is>
          <t>LIDKÖPING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59155-2025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45988</v>
      </c>
      <c r="E95" s="1" t="n">
        <v>46282</v>
      </c>
      <c r="F95" t="inlineStr">
        <is>
          <t>VÄSTRA GÖTALANDS LÄN</t>
        </is>
      </c>
      <c r="G95" t="inlineStr">
        <is>
          <t>LIDKÖPING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8953-2023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44979</v>
      </c>
      <c r="E96" s="1" t="n">
        <v>46282</v>
      </c>
      <c r="F96" t="inlineStr">
        <is>
          <t>VÄSTRA GÖTALANDS LÄN</t>
        </is>
      </c>
      <c r="G96" t="inlineStr">
        <is>
          <t>LIDKÖPING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45660</v>
      </c>
      <c r="E97" s="1" t="n">
        <v>46282</v>
      </c>
      <c r="F97" t="inlineStr">
        <is>
          <t>VÄSTRA GÖTALANDS LÄN</t>
        </is>
      </c>
      <c r="G97" t="inlineStr">
        <is>
          <t>LIDKÖPING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14536-2026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46100</v>
      </c>
      <c r="E98" s="1" t="n">
        <v>46282</v>
      </c>
      <c r="F98" t="inlineStr">
        <is>
          <t>VÄSTRA GÖTALANDS LÄN</t>
        </is>
      </c>
      <c r="G98" t="inlineStr">
        <is>
          <t>LIDKÖPING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45706</v>
      </c>
      <c r="E99" s="1" t="n">
        <v>46282</v>
      </c>
      <c r="F99" t="inlineStr">
        <is>
          <t>VÄSTRA GÖTALANDS LÄN</t>
        </is>
      </c>
      <c r="G99" t="inlineStr">
        <is>
          <t>LIDKÖPING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2086-2025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45672</v>
      </c>
      <c r="E100" s="1" t="n">
        <v>46282</v>
      </c>
      <c r="F100" t="inlineStr">
        <is>
          <t>VÄSTRA GÖTALANDS LÄN</t>
        </is>
      </c>
      <c r="G100" t="inlineStr">
        <is>
          <t>LIDKÖPING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62527-2021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44503</v>
      </c>
      <c r="E101" s="1" t="n">
        <v>46282</v>
      </c>
      <c r="F101" t="inlineStr">
        <is>
          <t>VÄSTRA GÖTALANDS LÄN</t>
        </is>
      </c>
      <c r="G101" t="inlineStr">
        <is>
          <t>LIDKÖPING</t>
        </is>
      </c>
      <c r="I101" t="n">
        <v>22.6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17533-2026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46120</v>
      </c>
      <c r="E102" s="1" t="n">
        <v>46282</v>
      </c>
      <c r="F102" t="inlineStr">
        <is>
          <t>VÄSTRA GÖTALANDS LÄN</t>
        </is>
      </c>
      <c r="G102" t="inlineStr">
        <is>
          <t>LIDKÖPING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46119</v>
      </c>
      <c r="E103" s="1" t="n">
        <v>46282</v>
      </c>
      <c r="F103" t="inlineStr">
        <is>
          <t>VÄSTRA GÖTALANDS LÄN</t>
        </is>
      </c>
      <c r="G103" t="inlineStr">
        <is>
          <t>LIDKÖPING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17495-2026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46120</v>
      </c>
      <c r="E104" s="1" t="n">
        <v>46282</v>
      </c>
      <c r="F104" t="inlineStr">
        <is>
          <t>VÄSTRA GÖTALANDS LÄN</t>
        </is>
      </c>
      <c r="G104" t="inlineStr">
        <is>
          <t>LIDKÖPING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17524-2026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46119</v>
      </c>
      <c r="E105" s="1" t="n">
        <v>46282</v>
      </c>
      <c r="F105" t="inlineStr">
        <is>
          <t>VÄSTRA GÖTALANDS LÄN</t>
        </is>
      </c>
      <c r="G105" t="inlineStr">
        <is>
          <t>LIDKÖPING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17958-2026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46122</v>
      </c>
      <c r="E106" s="1" t="n">
        <v>46282</v>
      </c>
      <c r="F106" t="inlineStr">
        <is>
          <t>VÄSTRA GÖTALANDS LÄN</t>
        </is>
      </c>
      <c r="G106" t="inlineStr">
        <is>
          <t>LIDKÖPING</t>
        </is>
      </c>
      <c r="H106" t="inlineStr">
        <is>
          <t>Kommuner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60290-2024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45642</v>
      </c>
      <c r="E107" s="1" t="n">
        <v>46282</v>
      </c>
      <c r="F107" t="inlineStr">
        <is>
          <t>VÄSTRA GÖTALANDS LÄN</t>
        </is>
      </c>
      <c r="G107" t="inlineStr">
        <is>
          <t>LIDKÖPING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35112-2024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45529</v>
      </c>
      <c r="E108" s="1" t="n">
        <v>46282</v>
      </c>
      <c r="F108" t="inlineStr">
        <is>
          <t>VÄSTRA GÖTALANDS LÄN</t>
        </is>
      </c>
      <c r="G108" t="inlineStr">
        <is>
          <t>LIDKÖPING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19759-2024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45432</v>
      </c>
      <c r="E109" s="1" t="n">
        <v>46282</v>
      </c>
      <c r="F109" t="inlineStr">
        <is>
          <t>VÄSTRA GÖTALANDS LÄN</t>
        </is>
      </c>
      <c r="G109" t="inlineStr">
        <is>
          <t>LIDKÖPING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18834-2026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46129</v>
      </c>
      <c r="E110" s="1" t="n">
        <v>46282</v>
      </c>
      <c r="F110" t="inlineStr">
        <is>
          <t>VÄSTRA GÖTALANDS LÄN</t>
        </is>
      </c>
      <c r="G110" t="inlineStr">
        <is>
          <t>LIDKÖPING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18979-2026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46129</v>
      </c>
      <c r="E111" s="1" t="n">
        <v>46282</v>
      </c>
      <c r="F111" t="inlineStr">
        <is>
          <t>VÄSTRA GÖTALANDS LÄN</t>
        </is>
      </c>
      <c r="G111" t="inlineStr">
        <is>
          <t>LIDKÖPING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56413-2024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45623</v>
      </c>
      <c r="E112" s="1" t="n">
        <v>46282</v>
      </c>
      <c r="F112" t="inlineStr">
        <is>
          <t>VÄSTRA GÖTALANDS LÄN</t>
        </is>
      </c>
      <c r="G112" t="inlineStr">
        <is>
          <t>LIDKÖPING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45672</v>
      </c>
      <c r="E113" s="1" t="n">
        <v>46282</v>
      </c>
      <c r="F113" t="inlineStr">
        <is>
          <t>VÄSTRA GÖTALANDS LÄN</t>
        </is>
      </c>
      <c r="G113" t="inlineStr">
        <is>
          <t>LIDKÖPING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45665</v>
      </c>
      <c r="E114" s="1" t="n">
        <v>46282</v>
      </c>
      <c r="F114" t="inlineStr">
        <is>
          <t>VÄSTRA GÖTALANDS LÄN</t>
        </is>
      </c>
      <c r="G114" t="inlineStr">
        <is>
          <t>LIDKÖPING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34779-2023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45141</v>
      </c>
      <c r="E115" s="1" t="n">
        <v>46282</v>
      </c>
      <c r="F115" t="inlineStr">
        <is>
          <t>VÄSTRA GÖTALANDS LÄN</t>
        </is>
      </c>
      <c r="G115" t="inlineStr">
        <is>
          <t>LIDKÖPING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36835-2024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45538</v>
      </c>
      <c r="E116" s="1" t="n">
        <v>46282</v>
      </c>
      <c r="F116" t="inlineStr">
        <is>
          <t>VÄSTRA GÖTALANDS LÄN</t>
        </is>
      </c>
      <c r="G116" t="inlineStr">
        <is>
          <t>LIDKÖPING</t>
        </is>
      </c>
      <c r="H116" t="inlineStr">
        <is>
          <t>Kommuner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58393-2022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44901</v>
      </c>
      <c r="E117" s="1" t="n">
        <v>46282</v>
      </c>
      <c r="F117" t="inlineStr">
        <is>
          <t>VÄSTRA GÖTALANDS LÄN</t>
        </is>
      </c>
      <c r="G117" t="inlineStr">
        <is>
          <t>LIDKÖPING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49997-2025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45943</v>
      </c>
      <c r="E118" s="1" t="n">
        <v>46282</v>
      </c>
      <c r="F118" t="inlineStr">
        <is>
          <t>VÄSTRA GÖTALANDS LÄN</t>
        </is>
      </c>
      <c r="G118" t="inlineStr">
        <is>
          <t>LIDKÖPING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44945</v>
      </c>
      <c r="E119" s="1" t="n">
        <v>46282</v>
      </c>
      <c r="F119" t="inlineStr">
        <is>
          <t>VÄSTRA GÖTALANDS LÄN</t>
        </is>
      </c>
      <c r="G119" t="inlineStr">
        <is>
          <t>LIDKÖPING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45747</v>
      </c>
      <c r="E120" s="1" t="n">
        <v>46282</v>
      </c>
      <c r="F120" t="inlineStr">
        <is>
          <t>VÄSTRA GÖTALANDS LÄN</t>
        </is>
      </c>
      <c r="G120" t="inlineStr">
        <is>
          <t>LIDKÖPING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44967</v>
      </c>
      <c r="E121" s="1" t="n">
        <v>46282</v>
      </c>
      <c r="F121" t="inlineStr">
        <is>
          <t>VÄSTRA GÖTALANDS LÄN</t>
        </is>
      </c>
      <c r="G121" t="inlineStr">
        <is>
          <t>LIDKÖPING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11949-2023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44994</v>
      </c>
      <c r="E122" s="1" t="n">
        <v>46282</v>
      </c>
      <c r="F122" t="inlineStr">
        <is>
          <t>VÄSTRA GÖTALANDS LÄN</t>
        </is>
      </c>
      <c r="G122" t="inlineStr">
        <is>
          <t>LIDKÖPING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54582-2023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45233</v>
      </c>
      <c r="E123" s="1" t="n">
        <v>46282</v>
      </c>
      <c r="F123" t="inlineStr">
        <is>
          <t>VÄSTRA GÖTALANDS LÄN</t>
        </is>
      </c>
      <c r="G123" t="inlineStr">
        <is>
          <t>LIDKÖPING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54279-2023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45232</v>
      </c>
      <c r="E124" s="1" t="n">
        <v>46282</v>
      </c>
      <c r="F124" t="inlineStr">
        <is>
          <t>VÄSTRA GÖTALANDS LÄN</t>
        </is>
      </c>
      <c r="G124" t="inlineStr">
        <is>
          <t>LIDKÖPING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45903</v>
      </c>
      <c r="E125" s="1" t="n">
        <v>46282</v>
      </c>
      <c r="F125" t="inlineStr">
        <is>
          <t>VÄSTRA GÖTALANDS LÄN</t>
        </is>
      </c>
      <c r="G125" t="inlineStr">
        <is>
          <t>LIDKÖPING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36816-2024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45538</v>
      </c>
      <c r="E126" s="1" t="n">
        <v>46282</v>
      </c>
      <c r="F126" t="inlineStr">
        <is>
          <t>VÄSTRA GÖTALANDS LÄN</t>
        </is>
      </c>
      <c r="G126" t="inlineStr">
        <is>
          <t>LIDKÖPING</t>
        </is>
      </c>
      <c r="H126" t="inlineStr">
        <is>
          <t>Kommuner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55984-2024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45623</v>
      </c>
      <c r="E127" s="1" t="n">
        <v>46282</v>
      </c>
      <c r="F127" t="inlineStr">
        <is>
          <t>VÄSTRA GÖTALANDS LÄN</t>
        </is>
      </c>
      <c r="G127" t="inlineStr">
        <is>
          <t>LIDKÖPING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35047-2024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45527</v>
      </c>
      <c r="E128" s="1" t="n">
        <v>46282</v>
      </c>
      <c r="F128" t="inlineStr">
        <is>
          <t>VÄSTRA GÖTALANDS LÄN</t>
        </is>
      </c>
      <c r="G128" t="inlineStr">
        <is>
          <t>LIDKÖPING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25322-2024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45462</v>
      </c>
      <c r="E129" s="1" t="n">
        <v>46282</v>
      </c>
      <c r="F129" t="inlineStr">
        <is>
          <t>VÄSTRA GÖTALANDS LÄN</t>
        </is>
      </c>
      <c r="G129" t="inlineStr">
        <is>
          <t>LIDKÖPING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20614-2025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45776</v>
      </c>
      <c r="E130" s="1" t="n">
        <v>46282</v>
      </c>
      <c r="F130" t="inlineStr">
        <is>
          <t>VÄSTRA GÖTALANDS LÄN</t>
        </is>
      </c>
      <c r="G130" t="inlineStr">
        <is>
          <t>LIDKÖPING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24234-2025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45797</v>
      </c>
      <c r="E131" s="1" t="n">
        <v>46282</v>
      </c>
      <c r="F131" t="inlineStr">
        <is>
          <t>VÄSTRA GÖTALANDS LÄN</t>
        </is>
      </c>
      <c r="G131" t="inlineStr">
        <is>
          <t>LIDKÖPING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31596-2024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45506</v>
      </c>
      <c r="E132" s="1" t="n">
        <v>46282</v>
      </c>
      <c r="F132" t="inlineStr">
        <is>
          <t>VÄSTRA GÖTALANDS LÄN</t>
        </is>
      </c>
      <c r="G132" t="inlineStr">
        <is>
          <t>LIDKÖPING</t>
        </is>
      </c>
      <c r="H132" t="inlineStr">
        <is>
          <t>Kommuner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52999-2023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45226</v>
      </c>
      <c r="E133" s="1" t="n">
        <v>46282</v>
      </c>
      <c r="F133" t="inlineStr">
        <is>
          <t>VÄSTRA GÖTALANDS LÄN</t>
        </is>
      </c>
      <c r="G133" t="inlineStr">
        <is>
          <t>LIDKÖPING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21017-2026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46144</v>
      </c>
      <c r="E134" s="1" t="n">
        <v>46282</v>
      </c>
      <c r="F134" t="inlineStr">
        <is>
          <t>VÄSTRA GÖTALANDS LÄN</t>
        </is>
      </c>
      <c r="G134" t="inlineStr">
        <is>
          <t>LIDKÖPING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53273-2023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45229</v>
      </c>
      <c r="E135" s="1" t="n">
        <v>46282</v>
      </c>
      <c r="F135" t="inlineStr">
        <is>
          <t>VÄSTRA GÖTALANDS LÄN</t>
        </is>
      </c>
      <c r="G135" t="inlineStr">
        <is>
          <t>LIDKÖPING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24759-2023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45084</v>
      </c>
      <c r="E136" s="1" t="n">
        <v>46282</v>
      </c>
      <c r="F136" t="inlineStr">
        <is>
          <t>VÄSTRA GÖTALANDS LÄN</t>
        </is>
      </c>
      <c r="G136" t="inlineStr">
        <is>
          <t>LIDKÖPING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61405-2025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46001</v>
      </c>
      <c r="E137" s="1" t="n">
        <v>46282</v>
      </c>
      <c r="F137" t="inlineStr">
        <is>
          <t>VÄSTRA GÖTALANDS LÄN</t>
        </is>
      </c>
      <c r="G137" t="inlineStr">
        <is>
          <t>LIDKÖPING</t>
        </is>
      </c>
      <c r="H137" t="inlineStr">
        <is>
          <t>Kyrkan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46282</v>
      </c>
      <c r="F138" t="inlineStr">
        <is>
          <t>VÄSTRA GÖTALANDS LÄN</t>
        </is>
      </c>
      <c r="G138" t="inlineStr">
        <is>
          <t>LIDKÖPING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52853-2023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45226</v>
      </c>
      <c r="E139" s="1" t="n">
        <v>46282</v>
      </c>
      <c r="F139" t="inlineStr">
        <is>
          <t>VÄSTRA GÖTALANDS LÄN</t>
        </is>
      </c>
      <c r="G139" t="inlineStr">
        <is>
          <t>LIDKÖPING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8936-2026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46069</v>
      </c>
      <c r="E140" s="1" t="n">
        <v>46282</v>
      </c>
      <c r="F140" t="inlineStr">
        <is>
          <t>VÄSTRA GÖTALANDS LÄN</t>
        </is>
      </c>
      <c r="G140" t="inlineStr">
        <is>
          <t>LIDKÖPING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45702</v>
      </c>
      <c r="E141" s="1" t="n">
        <v>46282</v>
      </c>
      <c r="F141" t="inlineStr">
        <is>
          <t>VÄSTRA GÖTALANDS LÄN</t>
        </is>
      </c>
      <c r="G141" t="inlineStr">
        <is>
          <t>LIDKÖPING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24279-2026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46169</v>
      </c>
      <c r="E142" s="1" t="n">
        <v>46282</v>
      </c>
      <c r="F142" t="inlineStr">
        <is>
          <t>VÄSTRA GÖTALANDS LÄN</t>
        </is>
      </c>
      <c r="G142" t="inlineStr">
        <is>
          <t>LIDKÖPING</t>
        </is>
      </c>
      <c r="I142" t="n">
        <v>11.7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32395-2023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45120</v>
      </c>
      <c r="E143" s="1" t="n">
        <v>46282</v>
      </c>
      <c r="F143" t="inlineStr">
        <is>
          <t>VÄSTRA GÖTALANDS LÄN</t>
        </is>
      </c>
      <c r="G143" t="inlineStr">
        <is>
          <t>LIDKÖPING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6080-2023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44964</v>
      </c>
      <c r="E144" s="1" t="n">
        <v>46282</v>
      </c>
      <c r="F144" t="inlineStr">
        <is>
          <t>VÄSTRA GÖTALANDS LÄN</t>
        </is>
      </c>
      <c r="G144" t="inlineStr">
        <is>
          <t>LIDKÖPING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35202-2023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45145</v>
      </c>
      <c r="E145" s="1" t="n">
        <v>46282</v>
      </c>
      <c r="F145" t="inlineStr">
        <is>
          <t>VÄSTRA GÖTALANDS LÄN</t>
        </is>
      </c>
      <c r="G145" t="inlineStr">
        <is>
          <t>LIDKÖPING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24736-2026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46171</v>
      </c>
      <c r="E146" s="1" t="n">
        <v>46282</v>
      </c>
      <c r="F146" t="inlineStr">
        <is>
          <t>VÄSTRA GÖTALANDS LÄN</t>
        </is>
      </c>
      <c r="G146" t="inlineStr">
        <is>
          <t>LIDKÖPING</t>
        </is>
      </c>
      <c r="H146" t="inlineStr">
        <is>
          <t>Kyrkan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44960</v>
      </c>
      <c r="E147" s="1" t="n">
        <v>46282</v>
      </c>
      <c r="F147" t="inlineStr">
        <is>
          <t>VÄSTRA GÖTALANDS LÄN</t>
        </is>
      </c>
      <c r="G147" t="inlineStr">
        <is>
          <t>LIDKÖPING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33654-2022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44789</v>
      </c>
      <c r="E148" s="1" t="n">
        <v>46282</v>
      </c>
      <c r="F148" t="inlineStr">
        <is>
          <t>VÄSTRA GÖTALANDS LÄN</t>
        </is>
      </c>
      <c r="G148" t="inlineStr">
        <is>
          <t>LIDKÖPING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30484-2023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45111</v>
      </c>
      <c r="E149" s="1" t="n">
        <v>46282</v>
      </c>
      <c r="F149" t="inlineStr">
        <is>
          <t>VÄSTRA GÖTALANDS LÄN</t>
        </is>
      </c>
      <c r="G149" t="inlineStr">
        <is>
          <t>LIDKÖPING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8950-2024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45357</v>
      </c>
      <c r="E150" s="1" t="n">
        <v>46282</v>
      </c>
      <c r="F150" t="inlineStr">
        <is>
          <t>VÄSTRA GÖTALANDS LÄN</t>
        </is>
      </c>
      <c r="G150" t="inlineStr">
        <is>
          <t>LIDKÖPING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46876-2022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44851</v>
      </c>
      <c r="E151" s="1" t="n">
        <v>46282</v>
      </c>
      <c r="F151" t="inlineStr">
        <is>
          <t>VÄSTRA GÖTALANDS LÄN</t>
        </is>
      </c>
      <c r="G151" t="inlineStr">
        <is>
          <t>LIDKÖPING</t>
        </is>
      </c>
      <c r="I151" t="n">
        <v>7.5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13522-2023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45006</v>
      </c>
      <c r="E152" s="1" t="n">
        <v>46282</v>
      </c>
      <c r="F152" t="inlineStr">
        <is>
          <t>VÄSTRA GÖTALANDS LÄN</t>
        </is>
      </c>
      <c r="G152" t="inlineStr">
        <is>
          <t>LIDKÖPING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25814-2026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46282</v>
      </c>
      <c r="F153" t="inlineStr">
        <is>
          <t>VÄSTRA GÖTALANDS LÄN</t>
        </is>
      </c>
      <c r="G153" t="inlineStr">
        <is>
          <t>LIDKÖPING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56419-2024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45623</v>
      </c>
      <c r="E154" s="1" t="n">
        <v>46282</v>
      </c>
      <c r="F154" t="inlineStr">
        <is>
          <t>VÄSTRA GÖTALANDS LÄN</t>
        </is>
      </c>
      <c r="G154" t="inlineStr">
        <is>
          <t>LIDKÖPING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8626-2024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45355</v>
      </c>
      <c r="E155" s="1" t="n">
        <v>46282</v>
      </c>
      <c r="F155" t="inlineStr">
        <is>
          <t>VÄSTRA GÖTALANDS LÄN</t>
        </is>
      </c>
      <c r="G155" t="inlineStr">
        <is>
          <t>LIDKÖPING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60112-2024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45642</v>
      </c>
      <c r="E156" s="1" t="n">
        <v>46282</v>
      </c>
      <c r="F156" t="inlineStr">
        <is>
          <t>VÄSTRA GÖTALANDS LÄN</t>
        </is>
      </c>
      <c r="G156" t="inlineStr">
        <is>
          <t>LIDKÖPING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31605-2024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45506</v>
      </c>
      <c r="E157" s="1" t="n">
        <v>46282</v>
      </c>
      <c r="F157" t="inlineStr">
        <is>
          <t>VÄSTRA GÖTALANDS LÄN</t>
        </is>
      </c>
      <c r="G157" t="inlineStr">
        <is>
          <t>LIDKÖPING</t>
        </is>
      </c>
      <c r="H157" t="inlineStr">
        <is>
          <t>Kommuner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26148-2026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46181</v>
      </c>
      <c r="E158" s="1" t="n">
        <v>46282</v>
      </c>
      <c r="F158" t="inlineStr">
        <is>
          <t>VÄSTRA GÖTALANDS LÄN</t>
        </is>
      </c>
      <c r="G158" t="inlineStr">
        <is>
          <t>LIDKÖPING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60118-2024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46282</v>
      </c>
      <c r="F159" t="inlineStr">
        <is>
          <t>VÄSTRA GÖTALANDS LÄN</t>
        </is>
      </c>
      <c r="G159" t="inlineStr">
        <is>
          <t>LIDKÖPING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62551-2021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46282</v>
      </c>
      <c r="F160" t="inlineStr">
        <is>
          <t>VÄSTRA GÖTALANDS LÄN</t>
        </is>
      </c>
      <c r="G160" t="inlineStr">
        <is>
          <t>LIDKÖPING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56542-2024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45625</v>
      </c>
      <c r="E161" s="1" t="n">
        <v>46282</v>
      </c>
      <c r="F161" t="inlineStr">
        <is>
          <t>VÄSTRA GÖTALANDS LÄN</t>
        </is>
      </c>
      <c r="G161" t="inlineStr">
        <is>
          <t>LIDKÖPING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53814-2024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45615</v>
      </c>
      <c r="E162" s="1" t="n">
        <v>46282</v>
      </c>
      <c r="F162" t="inlineStr">
        <is>
          <t>VÄSTRA GÖTALANDS LÄN</t>
        </is>
      </c>
      <c r="G162" t="inlineStr">
        <is>
          <t>LIDKÖPING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27552-2026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46190</v>
      </c>
      <c r="E163" s="1" t="n">
        <v>46282</v>
      </c>
      <c r="F163" t="inlineStr">
        <is>
          <t>VÄSTRA GÖTALANDS LÄN</t>
        </is>
      </c>
      <c r="G163" t="inlineStr">
        <is>
          <t>LIDKÖPING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10524-2024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45366</v>
      </c>
      <c r="E164" s="1" t="n">
        <v>46282</v>
      </c>
      <c r="F164" t="inlineStr">
        <is>
          <t>VÄSTRA GÖTALANDS LÄN</t>
        </is>
      </c>
      <c r="G164" t="inlineStr">
        <is>
          <t>LIDKÖPING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9422-2024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45359</v>
      </c>
      <c r="E165" s="1" t="n">
        <v>46282</v>
      </c>
      <c r="F165" t="inlineStr">
        <is>
          <t>VÄSTRA GÖTALANDS LÄN</t>
        </is>
      </c>
      <c r="G165" t="inlineStr">
        <is>
          <t>LIDKÖPING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28068-2026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46282</v>
      </c>
      <c r="F166" t="inlineStr">
        <is>
          <t>VÄSTRA GÖTALANDS LÄN</t>
        </is>
      </c>
      <c r="G166" t="inlineStr">
        <is>
          <t>LIDKÖPING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28056-2026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46195</v>
      </c>
      <c r="E167" s="1" t="n">
        <v>46282</v>
      </c>
      <c r="F167" t="inlineStr">
        <is>
          <t>VÄSTRA GÖTALANDS LÄN</t>
        </is>
      </c>
      <c r="G167" t="inlineStr">
        <is>
          <t>LIDKÖPING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45608-2022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44845</v>
      </c>
      <c r="E168" s="1" t="n">
        <v>46282</v>
      </c>
      <c r="F168" t="inlineStr">
        <is>
          <t>VÄSTRA GÖTALANDS LÄN</t>
        </is>
      </c>
      <c r="G168" t="inlineStr">
        <is>
          <t>LIDKÖPING</t>
        </is>
      </c>
      <c r="I168" t="n">
        <v>17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28309-2026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46196</v>
      </c>
      <c r="E169" s="1" t="n">
        <v>46282</v>
      </c>
      <c r="F169" t="inlineStr">
        <is>
          <t>VÄSTRA GÖTALANDS LÄN</t>
        </is>
      </c>
      <c r="G169" t="inlineStr">
        <is>
          <t>LIDKÖPING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58672-2022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44902</v>
      </c>
      <c r="E170" s="1" t="n">
        <v>46282</v>
      </c>
      <c r="F170" t="inlineStr">
        <is>
          <t>VÄSTRA GÖTALANDS LÄN</t>
        </is>
      </c>
      <c r="G170" t="inlineStr">
        <is>
          <t>LIDKÖPING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45622</v>
      </c>
      <c r="E171" s="1" t="n">
        <v>46282</v>
      </c>
      <c r="F171" t="inlineStr">
        <is>
          <t>VÄSTRA GÖTALANDS LÄN</t>
        </is>
      </c>
      <c r="G171" t="inlineStr">
        <is>
          <t>LIDKÖPING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32923-2026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46244</v>
      </c>
      <c r="E172" s="1" t="n">
        <v>46282</v>
      </c>
      <c r="F172" t="inlineStr">
        <is>
          <t>VÄSTRA GÖTALANDS LÄN</t>
        </is>
      </c>
      <c r="G172" t="inlineStr">
        <is>
          <t>LIDKÖPING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32944-2026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46244</v>
      </c>
      <c r="E173" s="1" t="n">
        <v>46282</v>
      </c>
      <c r="F173" t="inlineStr">
        <is>
          <t>VÄSTRA GÖTALANDS LÄN</t>
        </is>
      </c>
      <c r="G173" t="inlineStr">
        <is>
          <t>LIDKÖPING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41163-2023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45174</v>
      </c>
      <c r="E174" s="1" t="n">
        <v>46282</v>
      </c>
      <c r="F174" t="inlineStr">
        <is>
          <t>VÄSTRA GÖTALANDS LÄN</t>
        </is>
      </c>
      <c r="G174" t="inlineStr">
        <is>
          <t>LIDKÖPING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33984-2026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46252</v>
      </c>
      <c r="E175" s="1" t="n">
        <v>46282</v>
      </c>
      <c r="F175" t="inlineStr">
        <is>
          <t>VÄSTRA GÖTALANDS LÄN</t>
        </is>
      </c>
      <c r="G175" t="inlineStr">
        <is>
          <t>LIDKÖPING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34112-2026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46253</v>
      </c>
      <c r="E176" s="1" t="n">
        <v>46282</v>
      </c>
      <c r="F176" t="inlineStr">
        <is>
          <t>VÄSTRA GÖTALANDS LÄN</t>
        </is>
      </c>
      <c r="G176" t="inlineStr">
        <is>
          <t>LIDKÖPING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40257-2023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45169</v>
      </c>
      <c r="E177" s="1" t="n">
        <v>46282</v>
      </c>
      <c r="F177" t="inlineStr">
        <is>
          <t>VÄSTRA GÖTALANDS LÄN</t>
        </is>
      </c>
      <c r="G177" t="inlineStr">
        <is>
          <t>LIDKÖPING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36622-2023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45153</v>
      </c>
      <c r="E178" s="1" t="n">
        <v>46282</v>
      </c>
      <c r="F178" t="inlineStr">
        <is>
          <t>VÄSTRA GÖTALANDS LÄN</t>
        </is>
      </c>
      <c r="G178" t="inlineStr">
        <is>
          <t>LIDKÖPING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62541-2021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44503</v>
      </c>
      <c r="E179" s="1" t="n">
        <v>46282</v>
      </c>
      <c r="F179" t="inlineStr">
        <is>
          <t>VÄSTRA GÖTALANDS LÄN</t>
        </is>
      </c>
      <c r="G179" t="inlineStr">
        <is>
          <t>LIDKÖPING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28850-2024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45478</v>
      </c>
      <c r="E180" s="1" t="n">
        <v>46282</v>
      </c>
      <c r="F180" t="inlineStr">
        <is>
          <t>VÄSTRA GÖTALANDS LÄN</t>
        </is>
      </c>
      <c r="G180" t="inlineStr">
        <is>
          <t>LIDKÖPING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44849-2024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45574</v>
      </c>
      <c r="E181" s="1" t="n">
        <v>46282</v>
      </c>
      <c r="F181" t="inlineStr">
        <is>
          <t>VÄSTRA GÖTALANDS LÄN</t>
        </is>
      </c>
      <c r="G181" t="inlineStr">
        <is>
          <t>LIDKÖPING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59644-2023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45254</v>
      </c>
      <c r="E182" s="1" t="n">
        <v>46282</v>
      </c>
      <c r="F182" t="inlineStr">
        <is>
          <t>VÄSTRA GÖTALANDS LÄN</t>
        </is>
      </c>
      <c r="G182" t="inlineStr">
        <is>
          <t>LIDKÖPING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56365-2024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45625</v>
      </c>
      <c r="E183" s="1" t="n">
        <v>46282</v>
      </c>
      <c r="F183" t="inlineStr">
        <is>
          <t>VÄSTRA GÖTALANDS LÄN</t>
        </is>
      </c>
      <c r="G183" t="inlineStr">
        <is>
          <t>LIDKÖPING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6940-2024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45343</v>
      </c>
      <c r="E184" s="1" t="n">
        <v>46282</v>
      </c>
      <c r="F184" t="inlineStr">
        <is>
          <t>VÄSTRA GÖTALANDS LÄN</t>
        </is>
      </c>
      <c r="G184" t="inlineStr">
        <is>
          <t>LIDKÖPING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40291-2024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45554</v>
      </c>
      <c r="E185" s="1" t="n">
        <v>46282</v>
      </c>
      <c r="F185" t="inlineStr">
        <is>
          <t>VÄSTRA GÖTALANDS LÄN</t>
        </is>
      </c>
      <c r="G185" t="inlineStr">
        <is>
          <t>LIDKÖPING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33209-2023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45127</v>
      </c>
      <c r="E186" s="1" t="n">
        <v>46282</v>
      </c>
      <c r="F186" t="inlineStr">
        <is>
          <t>VÄSTRA GÖTALANDS LÄN</t>
        </is>
      </c>
      <c r="G186" t="inlineStr">
        <is>
          <t>LIDKÖPING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53764-2024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46282</v>
      </c>
      <c r="F187" t="inlineStr">
        <is>
          <t>VÄSTRA GÖTALANDS LÄN</t>
        </is>
      </c>
      <c r="G187" t="inlineStr">
        <is>
          <t>LIDKÖPING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44308-2023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45188</v>
      </c>
      <c r="E188" s="1" t="n">
        <v>46282</v>
      </c>
      <c r="F188" t="inlineStr">
        <is>
          <t>VÄSTRA GÖTALANDS LÄN</t>
        </is>
      </c>
      <c r="G188" t="inlineStr">
        <is>
          <t>LIDKÖPING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45006</v>
      </c>
      <c r="E189" s="1" t="n">
        <v>46282</v>
      </c>
      <c r="F189" t="inlineStr">
        <is>
          <t>VÄSTRA GÖTALANDS LÄN</t>
        </is>
      </c>
      <c r="G189" t="inlineStr">
        <is>
          <t>LIDKÖPING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36878-2026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46273</v>
      </c>
      <c r="E190" s="1" t="n">
        <v>46282</v>
      </c>
      <c r="F190" t="inlineStr">
        <is>
          <t>VÄSTRA GÖTALANDS LÄN</t>
        </is>
      </c>
      <c r="G190" t="inlineStr">
        <is>
          <t>LIDKÖPING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35087-2024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45527</v>
      </c>
      <c r="E191" s="1" t="n">
        <v>46282</v>
      </c>
      <c r="F191" t="inlineStr">
        <is>
          <t>VÄSTRA GÖTALANDS LÄN</t>
        </is>
      </c>
      <c r="G191" t="inlineStr">
        <is>
          <t>LIDKÖPING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36716-2026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46272</v>
      </c>
      <c r="E192" s="1" t="n">
        <v>46282</v>
      </c>
      <c r="F192" t="inlineStr">
        <is>
          <t>VÄSTRA GÖTALANDS LÄN</t>
        </is>
      </c>
      <c r="G192" t="inlineStr">
        <is>
          <t>LIDKÖPING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53769-2024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45615</v>
      </c>
      <c r="E193" s="1" t="n">
        <v>46282</v>
      </c>
      <c r="F193" t="inlineStr">
        <is>
          <t>VÄSTRA GÖTALANDS LÄN</t>
        </is>
      </c>
      <c r="G193" t="inlineStr">
        <is>
          <t>LIDKÖPING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44964</v>
      </c>
      <c r="E194" s="1" t="n">
        <v>46282</v>
      </c>
      <c r="F194" t="inlineStr">
        <is>
          <t>VÄSTRA GÖTALANDS LÄN</t>
        </is>
      </c>
      <c r="G194" t="inlineStr">
        <is>
          <t>LIDKÖPING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31826-2026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46230</v>
      </c>
      <c r="E195" s="1" t="n">
        <v>46282</v>
      </c>
      <c r="F195" t="inlineStr">
        <is>
          <t>VÄSTRA GÖTALANDS LÄN</t>
        </is>
      </c>
      <c r="G195" t="inlineStr">
        <is>
          <t>LIDKÖPING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34936-2026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46259</v>
      </c>
      <c r="E196" s="1" t="n">
        <v>46282</v>
      </c>
      <c r="F196" t="inlineStr">
        <is>
          <t>VÄSTRA GÖTALANDS LÄN</t>
        </is>
      </c>
      <c r="G196" t="inlineStr">
        <is>
          <t>LIDKÖPING</t>
        </is>
      </c>
      <c r="I196" t="n">
        <v>7.4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18768-2024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45426</v>
      </c>
      <c r="E197" s="1" t="n">
        <v>46282</v>
      </c>
      <c r="F197" t="inlineStr">
        <is>
          <t>VÄSTRA GÖTALANDS LÄN</t>
        </is>
      </c>
      <c r="G197" t="inlineStr">
        <is>
          <t>LIDKÖPING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56740-2023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45244</v>
      </c>
      <c r="E198" s="1" t="n">
        <v>46282</v>
      </c>
      <c r="F198" t="inlineStr">
        <is>
          <t>VÄSTRA GÖTALANDS LÄN</t>
        </is>
      </c>
      <c r="G198" t="inlineStr">
        <is>
          <t>LIDKÖPING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31897-2026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46231</v>
      </c>
      <c r="E199" s="1" t="n">
        <v>46282</v>
      </c>
      <c r="F199" t="inlineStr">
        <is>
          <t>VÄSTRA GÖTALANDS LÄN</t>
        </is>
      </c>
      <c r="G199" t="inlineStr">
        <is>
          <t>LIDKÖPING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31899-2026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46231</v>
      </c>
      <c r="E200" s="1" t="n">
        <v>46282</v>
      </c>
      <c r="F200" t="inlineStr">
        <is>
          <t>VÄSTRA GÖTALANDS LÄN</t>
        </is>
      </c>
      <c r="G200" t="inlineStr">
        <is>
          <t>LIDKÖPING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31902-2026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46231</v>
      </c>
      <c r="E201" s="1" t="n">
        <v>46282</v>
      </c>
      <c r="F201" t="inlineStr">
        <is>
          <t>VÄSTRA GÖTALANDS LÄN</t>
        </is>
      </c>
      <c r="G201" t="inlineStr">
        <is>
          <t>LIDKÖPING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43460-2024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45568</v>
      </c>
      <c r="E202" s="1" t="n">
        <v>46282</v>
      </c>
      <c r="F202" t="inlineStr">
        <is>
          <t>VÄSTRA GÖTALANDS LÄN</t>
        </is>
      </c>
      <c r="G202" t="inlineStr">
        <is>
          <t>LIDKÖPING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59010-2024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45635</v>
      </c>
      <c r="E203" s="1" t="n">
        <v>46282</v>
      </c>
      <c r="F203" t="inlineStr">
        <is>
          <t>VÄSTRA GÖTALANDS LÄN</t>
        </is>
      </c>
      <c r="G203" t="inlineStr">
        <is>
          <t>LIDKÖPING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37994-2026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46280</v>
      </c>
      <c r="E204" s="1" t="n">
        <v>46282</v>
      </c>
      <c r="F204" t="inlineStr">
        <is>
          <t>VÄSTRA GÖTALANDS LÄN</t>
        </is>
      </c>
      <c r="G204" t="inlineStr">
        <is>
          <t>LIDKÖPING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34941-2026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46259</v>
      </c>
      <c r="E205" s="1" t="n">
        <v>46282</v>
      </c>
      <c r="F205" t="inlineStr">
        <is>
          <t>VÄSTRA GÖTALANDS LÄN</t>
        </is>
      </c>
      <c r="G205" t="inlineStr">
        <is>
          <t>LIDKÖPING</t>
        </is>
      </c>
      <c r="I205" t="n">
        <v>9.300000000000001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37997-2026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46280</v>
      </c>
      <c r="E206" s="1" t="n">
        <v>46282</v>
      </c>
      <c r="F206" t="inlineStr">
        <is>
          <t>VÄSTRA GÖTALANDS LÄN</t>
        </is>
      </c>
      <c r="G206" t="inlineStr">
        <is>
          <t>LIDKÖPING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32497-2026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46239</v>
      </c>
      <c r="E207" s="1" t="n">
        <v>46282</v>
      </c>
      <c r="F207" t="inlineStr">
        <is>
          <t>VÄSTRA GÖTALANDS LÄN</t>
        </is>
      </c>
      <c r="G207" t="inlineStr">
        <is>
          <t>LIDKÖPING</t>
        </is>
      </c>
      <c r="H207" t="inlineStr">
        <is>
          <t>Kyrkan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34945-2026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46259</v>
      </c>
      <c r="E208" s="1" t="n">
        <v>46282</v>
      </c>
      <c r="F208" t="inlineStr">
        <is>
          <t>VÄSTRA GÖTALANDS LÄN</t>
        </is>
      </c>
      <c r="G208" t="inlineStr">
        <is>
          <t>LIDKÖPING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46239</v>
      </c>
      <c r="E209" s="1" t="n">
        <v>46282</v>
      </c>
      <c r="F209" t="inlineStr">
        <is>
          <t>VÄSTRA GÖTALANDS LÄN</t>
        </is>
      </c>
      <c r="G209" t="inlineStr">
        <is>
          <t>LIDKÖPING</t>
        </is>
      </c>
      <c r="H209" t="inlineStr">
        <is>
          <t>Kyrkan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32477-2026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46239</v>
      </c>
      <c r="E210" s="1" t="n">
        <v>46282</v>
      </c>
      <c r="F210" t="inlineStr">
        <is>
          <t>VÄSTRA GÖTALANDS LÄN</t>
        </is>
      </c>
      <c r="G210" t="inlineStr">
        <is>
          <t>LIDKÖPING</t>
        </is>
      </c>
      <c r="H210" t="inlineStr">
        <is>
          <t>Kyrkan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38009-2026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46280</v>
      </c>
      <c r="E211" s="1" t="n">
        <v>46282</v>
      </c>
      <c r="F211" t="inlineStr">
        <is>
          <t>VÄSTRA GÖTALANDS LÄN</t>
        </is>
      </c>
      <c r="G211" t="inlineStr">
        <is>
          <t>LIDKÖPING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61817-2024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45649</v>
      </c>
      <c r="E212" s="1" t="n">
        <v>46282</v>
      </c>
      <c r="F212" t="inlineStr">
        <is>
          <t>VÄSTRA GÖTALANDS LÄN</t>
        </is>
      </c>
      <c r="G212" t="inlineStr">
        <is>
          <t>LIDKÖPING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9973-2024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45363</v>
      </c>
      <c r="E213" s="1" t="n">
        <v>46282</v>
      </c>
      <c r="F213" t="inlineStr">
        <is>
          <t>VÄSTRA GÖTALANDS LÄN</t>
        </is>
      </c>
      <c r="G213" t="inlineStr">
        <is>
          <t>LIDKÖPING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56373-2024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45625</v>
      </c>
      <c r="E214" s="1" t="n">
        <v>46282</v>
      </c>
      <c r="F214" t="inlineStr">
        <is>
          <t>VÄSTRA GÖTALANDS LÄN</t>
        </is>
      </c>
      <c r="G214" t="inlineStr">
        <is>
          <t>LIDKÖPING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53805-2024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45615</v>
      </c>
      <c r="E215" s="1" t="n">
        <v>46282</v>
      </c>
      <c r="F215" t="inlineStr">
        <is>
          <t>VÄSTRA GÖTALANDS LÄN</t>
        </is>
      </c>
      <c r="G215" t="inlineStr">
        <is>
          <t>LIDKÖPING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11393-2025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45726</v>
      </c>
      <c r="E216" s="1" t="n">
        <v>46282</v>
      </c>
      <c r="F216" t="inlineStr">
        <is>
          <t>VÄSTRA GÖTALANDS LÄN</t>
        </is>
      </c>
      <c r="G216" t="inlineStr">
        <is>
          <t>LIDKÖPING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24356-2025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45797</v>
      </c>
      <c r="E217" s="1" t="n">
        <v>46282</v>
      </c>
      <c r="F217" t="inlineStr">
        <is>
          <t>VÄSTRA GÖTALANDS LÄN</t>
        </is>
      </c>
      <c r="G217" t="inlineStr">
        <is>
          <t>LIDKÖPING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53275-2023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45229</v>
      </c>
      <c r="E218" s="1" t="n">
        <v>46282</v>
      </c>
      <c r="F218" t="inlineStr">
        <is>
          <t>VÄSTRA GÖTALANDS LÄN</t>
        </is>
      </c>
      <c r="G218" t="inlineStr">
        <is>
          <t>LIDKÖPING</t>
        </is>
      </c>
      <c r="I218" t="n">
        <v>8.5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44104-2024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45572</v>
      </c>
      <c r="E219" s="1" t="n">
        <v>46282</v>
      </c>
      <c r="F219" t="inlineStr">
        <is>
          <t>VÄSTRA GÖTALANDS LÄN</t>
        </is>
      </c>
      <c r="G219" t="inlineStr">
        <is>
          <t>LIDKÖPING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11563-2025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45727</v>
      </c>
      <c r="E220" s="1" t="n">
        <v>46282</v>
      </c>
      <c r="F220" t="inlineStr">
        <is>
          <t>VÄSTRA GÖTALANDS LÄN</t>
        </is>
      </c>
      <c r="G220" t="inlineStr">
        <is>
          <t>LIDKÖPING</t>
        </is>
      </c>
      <c r="H220" t="inlineStr">
        <is>
          <t>Kommuner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3762-2024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45558</v>
      </c>
      <c r="E221" s="1" t="n">
        <v>46282</v>
      </c>
      <c r="F221" t="inlineStr">
        <is>
          <t>VÄSTRA GÖTALANDS LÄN</t>
        </is>
      </c>
      <c r="G221" t="inlineStr">
        <is>
          <t>LIDKÖPING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1807-2022</t>
        </is>
      </c>
      <c r="B222" t="inlineStr">
        <is>
          <t>samrådsanmälan</t>
        </is>
      </c>
      <c r="C222" t="inlineStr">
        <is>
          <t>Skogsbilväg</t>
        </is>
      </c>
      <c r="D222" s="1" t="n">
        <v>44656</v>
      </c>
      <c r="E222" s="1" t="n">
        <v>46282</v>
      </c>
      <c r="F222" t="inlineStr">
        <is>
          <t>VÄSTRA GÖTALANDS LÄN</t>
        </is>
      </c>
      <c r="G222" t="inlineStr">
        <is>
          <t>LIDKÖPING</t>
        </is>
      </c>
      <c r="H222" t="inlineStr">
        <is>
          <t>Kyrkan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320-2025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45688</v>
      </c>
      <c r="E223" s="1" t="n">
        <v>46282</v>
      </c>
      <c r="F223" t="inlineStr">
        <is>
          <t>VÄSTRA GÖTALANDS LÄN</t>
        </is>
      </c>
      <c r="G223" t="inlineStr">
        <is>
          <t>LIDKÖPING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319-2025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45688</v>
      </c>
      <c r="E224" s="1" t="n">
        <v>46282</v>
      </c>
      <c r="F224" t="inlineStr">
        <is>
          <t>VÄSTRA GÖTALANDS LÄN</t>
        </is>
      </c>
      <c r="G224" t="inlineStr">
        <is>
          <t>LIDKÖPING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2767-2022</t>
        </is>
      </c>
      <c r="B225" t="inlineStr">
        <is>
          <t>samrådsanmälan</t>
        </is>
      </c>
      <c r="C225" t="inlineStr">
        <is>
          <t>Åtgärd i nyckelbiotop</t>
        </is>
      </c>
      <c r="D225" s="1" t="n">
        <v>44705</v>
      </c>
      <c r="E225" s="1" t="n">
        <v>46282</v>
      </c>
      <c r="F225" t="inlineStr">
        <is>
          <t>VÄSTRA GÖTALANDS LÄN</t>
        </is>
      </c>
      <c r="G225" t="inlineStr">
        <is>
          <t>LIDKÖPING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2026-09-17T01:58:13Z</dcterms:created>
  <dcterms:modified xmlns:dcterms="http://purl.org/dc/terms/" xmlns:xsi="http://www.w3.org/2001/XMLSchema-instance" xsi:type="dcterms:W3CDTF">2026-09-17T01:58:13Z</dcterms:modified>
</cp:coreProperties>
</file>