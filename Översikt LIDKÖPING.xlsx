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1387-2022</t>
        </is>
      </c>
      <c r="B2" t="inlineStr">
        <is>
          <t>samrådsanmälan</t>
        </is>
      </c>
      <c r="C2" t="inlineStr">
        <is>
          <t>Askåterföring</t>
        </is>
      </c>
      <c r="D2" s="1" t="n">
        <v>44631</v>
      </c>
      <c r="E2" s="1" t="n">
        <v>46322</v>
      </c>
      <c r="F2" t="inlineStr">
        <is>
          <t>VÄSTRA GÖTALANDS LÄN</t>
        </is>
      </c>
      <c r="G2" t="inlineStr">
        <is>
          <t>LIDKÖPING</t>
        </is>
      </c>
      <c r="H2" t="inlineStr">
        <is>
          <t>Kyrkan</t>
        </is>
      </c>
      <c r="I2" t="n">
        <v>347.5</v>
      </c>
      <c r="J2" t="n">
        <v>11</v>
      </c>
      <c r="K2" t="n">
        <v>1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12</v>
      </c>
      <c r="T2" t="n">
        <v>16</v>
      </c>
      <c r="U2" t="n">
        <v>13</v>
      </c>
      <c r="V2" s="2" t="inlineStr">
        <is>
          <t>Gråtrut
Bivråk
Entita
Talltita
Västlig hakmossa
Spillkråka
Fiskgjuse
Gröngöling
Kungsfågel
Salskrake
Sångsvan
Vanlig padda</t>
        </is>
      </c>
      <c r="W2">
        <f>HYPERLINK("https://klasma.github.io/Logging_1494/artfynd/S 1387-2022 artfynd.xlsx", "S 1387-2022")</f>
        <v/>
      </c>
      <c r="X2">
        <f>HYPERLINK("https://klasma.github.io/Logging_1494/kartor/S 1387-2022 karta.png", "S 1387-2022")</f>
        <v/>
      </c>
      <c r="Y2">
        <f>HYPERLINK("https://klasma.github.io/Logging_1494/kartor_geotiff/S 1387-2022 georefererad karta.tif", "S 1387-2022")</f>
        <v/>
      </c>
      <c r="AA2">
        <f>HYPERLINK("https://klasma.github.io/Logging_1494/klagomål/S 1387-2022 FSC-klagomål.docx", "S 1387-2022")</f>
        <v/>
      </c>
      <c r="AB2">
        <f>HYPERLINK("https://klasma.github.io/Logging_1494/klagomålsmail/S 1387-2022 FSC-klagomål mail.docx", "S 1387-2022")</f>
        <v/>
      </c>
      <c r="AC2">
        <f>HYPERLINK("https://klasma.github.io/Logging_1494/tillsyn/S 1387-2022 tillsynsbegäran.docx", "S 1387-2022")</f>
        <v/>
      </c>
      <c r="AD2">
        <f>HYPERLINK("https://klasma.github.io/Logging_1494/tillsynsmail/S 1387-2022 tillsynsbegäran mail.docx", "S 1387-2022")</f>
        <v/>
      </c>
      <c r="AE2">
        <f>HYPERLINK("https://klasma.github.io/Logging_1494/fåglar/S 1387-2022 prioriterade fågelarter.docx", "S 1387-2022")</f>
        <v/>
      </c>
    </row>
    <row r="3" ht="15" customHeight="1">
      <c r="A3" t="inlineStr">
        <is>
          <t>A 62335-2025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46006</v>
      </c>
      <c r="E3" s="1" t="n">
        <v>46322</v>
      </c>
      <c r="F3" t="inlineStr">
        <is>
          <t>VÄSTRA GÖTALANDS LÄN</t>
        </is>
      </c>
      <c r="G3" t="inlineStr">
        <is>
          <t>LIDKÖPING</t>
        </is>
      </c>
      <c r="H3" t="inlineStr">
        <is>
          <t>Kommuner</t>
        </is>
      </c>
      <c r="I3" t="n">
        <v>0.5</v>
      </c>
      <c r="J3" t="n">
        <v>10</v>
      </c>
      <c r="K3" t="n">
        <v>0</v>
      </c>
      <c r="L3" t="n">
        <v>4</v>
      </c>
      <c r="M3" t="n">
        <v>3</v>
      </c>
      <c r="N3" t="n">
        <v>0</v>
      </c>
      <c r="O3" t="n">
        <v>0</v>
      </c>
      <c r="P3" t="n">
        <v>0</v>
      </c>
      <c r="Q3" t="n">
        <v>7</v>
      </c>
      <c r="R3" t="n">
        <v>3</v>
      </c>
      <c r="S3" t="n">
        <v>10</v>
      </c>
      <c r="T3" t="n">
        <v>10</v>
      </c>
      <c r="U3" t="n">
        <v>0</v>
      </c>
      <c r="V3" s="2" t="inlineStr">
        <is>
          <t>Gråtrut
Stare
Tofsvipa
Björktrast
Gråhakedopping
Kricka
Skrattmås
Kråka
Röd glada
Trana</t>
        </is>
      </c>
      <c r="W3">
        <f>HYPERLINK("https://klasma.github.io/Logging_1494/artfynd/A 62335-2025 artfynd.xlsx", "A 62335-2025")</f>
        <v/>
      </c>
      <c r="X3">
        <f>HYPERLINK("https://klasma.github.io/Logging_1494/kartor/A 62335-2025 karta.png", "A 62335-2025")</f>
        <v/>
      </c>
      <c r="Y3">
        <f>HYPERLINK("https://klasma.github.io/Logging_1494/kartor_geotiff/A 62335-2025 georefererad karta.tif", "A 62335-2025")</f>
        <v/>
      </c>
      <c r="AA3">
        <f>HYPERLINK("https://klasma.github.io/Logging_1494/klagomål/A 62335-2025 FSC-klagomål.docx", "A 62335-2025")</f>
        <v/>
      </c>
      <c r="AB3">
        <f>HYPERLINK("https://klasma.github.io/Logging_1494/klagomålsmail/A 62335-2025 FSC-klagomål mail.docx", "A 62335-2025")</f>
        <v/>
      </c>
      <c r="AC3">
        <f>HYPERLINK("https://klasma.github.io/Logging_1494/tillsyn/A 62335-2025 tillsynsbegäran.docx", "A 62335-2025")</f>
        <v/>
      </c>
      <c r="AD3">
        <f>HYPERLINK("https://klasma.github.io/Logging_1494/tillsynsmail/A 62335-2025 tillsynsbegäran mail.docx", "A 62335-2025")</f>
        <v/>
      </c>
      <c r="AE3">
        <f>HYPERLINK("https://klasma.github.io/Logging_1494/fåglar/A 62335-2025 prioriterade fågelarter.docx", "A 62335-2025")</f>
        <v/>
      </c>
    </row>
    <row r="4" ht="15" customHeight="1">
      <c r="A4" t="inlineStr">
        <is>
          <t>A 6898-2023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44967</v>
      </c>
      <c r="E4" s="1" t="n">
        <v>46322</v>
      </c>
      <c r="F4" t="inlineStr">
        <is>
          <t>VÄSTRA GÖTALANDS LÄN</t>
        </is>
      </c>
      <c r="G4" t="inlineStr">
        <is>
          <t>LIDKÖPING</t>
        </is>
      </c>
      <c r="I4" t="n">
        <v>18</v>
      </c>
      <c r="J4" t="n">
        <v>4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5</v>
      </c>
      <c r="T4" t="n">
        <v>5</v>
      </c>
      <c r="U4" t="n">
        <v>5</v>
      </c>
      <c r="V4" s="2" t="inlineStr">
        <is>
          <t>Grönsångare
Göktyta
Älg
Buskskvätta
Röd glada</t>
        </is>
      </c>
      <c r="W4">
        <f>HYPERLINK("https://klasma.github.io/Logging_1494/artfynd/A 6898-2023 artfynd.xlsx", "A 6898-2023")</f>
        <v/>
      </c>
      <c r="X4">
        <f>HYPERLINK("https://klasma.github.io/Logging_1494/kartor/A 6898-2023 karta.png", "A 6898-2023")</f>
        <v/>
      </c>
      <c r="Y4">
        <f>HYPERLINK("https://klasma.github.io/Logging_1494/kartor_geotiff/A 6898-2023 georefererad karta.tif", "A 6898-2023")</f>
        <v/>
      </c>
      <c r="AA4">
        <f>HYPERLINK("https://klasma.github.io/Logging_1494/klagomål/A 6898-2023 FSC-klagomål.docx", "A 6898-2023")</f>
        <v/>
      </c>
      <c r="AB4">
        <f>HYPERLINK("https://klasma.github.io/Logging_1494/klagomålsmail/A 6898-2023 FSC-klagomål mail.docx", "A 6898-2023")</f>
        <v/>
      </c>
      <c r="AC4">
        <f>HYPERLINK("https://klasma.github.io/Logging_1494/tillsyn/A 6898-2023 tillsynsbegäran.docx", "A 6898-2023")</f>
        <v/>
      </c>
      <c r="AD4">
        <f>HYPERLINK("https://klasma.github.io/Logging_1494/tillsynsmail/A 6898-2023 tillsynsbegäran mail.docx", "A 6898-2023")</f>
        <v/>
      </c>
      <c r="AE4">
        <f>HYPERLINK("https://klasma.github.io/Logging_1494/fåglar/A 6898-2023 prioriterade fågelarter.docx", "A 6898-2023")</f>
        <v/>
      </c>
    </row>
    <row r="5" ht="15" customHeight="1">
      <c r="A5" t="inlineStr">
        <is>
          <t>A 24727-2026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46171</v>
      </c>
      <c r="E5" s="1" t="n">
        <v>46322</v>
      </c>
      <c r="F5" t="inlineStr">
        <is>
          <t>VÄSTRA GÖTALANDS LÄN</t>
        </is>
      </c>
      <c r="G5" t="inlineStr">
        <is>
          <t>LIDKÖPING</t>
        </is>
      </c>
      <c r="H5" t="inlineStr">
        <is>
          <t>Kyrkan</t>
        </is>
      </c>
      <c r="I5" t="n">
        <v>6.9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5</v>
      </c>
      <c r="T5" t="n">
        <v>8</v>
      </c>
      <c r="U5" t="n">
        <v>0</v>
      </c>
      <c r="V5" s="2" t="inlineStr">
        <is>
          <t>Knärot
Veckticka
Blodticka
Västlig hakmossa
Spillkråka</t>
        </is>
      </c>
      <c r="W5">
        <f>HYPERLINK("https://klasma.github.io/Logging_1494/artfynd/A 24727-2026 artfynd.xlsx", "A 24727-2026")</f>
        <v/>
      </c>
      <c r="X5">
        <f>HYPERLINK("https://klasma.github.io/Logging_1494/kartor/A 24727-2026 karta.png", "A 24727-2026")</f>
        <v/>
      </c>
      <c r="Y5">
        <f>HYPERLINK("https://klasma.github.io/Logging_1494/kartor_geotiff/A 24727-2026 georefererad karta.tif", "A 24727-2026")</f>
        <v/>
      </c>
      <c r="Z5">
        <f>HYPERLINK("https://klasma.github.io/Logging_1494/knärot/A 24727-2026 karta knärot.png", "A 24727-2026")</f>
        <v/>
      </c>
      <c r="AA5">
        <f>HYPERLINK("https://klasma.github.io/Logging_1494/klagomål/A 24727-2026 FSC-klagomål.docx", "A 24727-2026")</f>
        <v/>
      </c>
      <c r="AB5">
        <f>HYPERLINK("https://klasma.github.io/Logging_1494/klagomålsmail/A 24727-2026 FSC-klagomål mail.docx", "A 24727-2026")</f>
        <v/>
      </c>
      <c r="AC5">
        <f>HYPERLINK("https://klasma.github.io/Logging_1494/tillsyn/A 24727-2026 tillsynsbegäran.docx", "A 24727-2026")</f>
        <v/>
      </c>
      <c r="AD5">
        <f>HYPERLINK("https://klasma.github.io/Logging_1494/tillsynsmail/A 24727-2026 tillsynsbegäran mail.docx", "A 24727-2026")</f>
        <v/>
      </c>
      <c r="AE5">
        <f>HYPERLINK("https://klasma.github.io/Logging_1494/fåglar/A 24727-2026 prioriterade fågelarter.docx", "A 24727-2026")</f>
        <v/>
      </c>
    </row>
    <row r="6" ht="15" customHeight="1">
      <c r="A6" t="inlineStr">
        <is>
          <t>A 32280-2022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44781</v>
      </c>
      <c r="E6" s="1" t="n">
        <v>46322</v>
      </c>
      <c r="F6" t="inlineStr">
        <is>
          <t>VÄSTRA GÖTALANDS LÄN</t>
        </is>
      </c>
      <c r="G6" t="inlineStr">
        <is>
          <t>LIDKÖPING</t>
        </is>
      </c>
      <c r="I6" t="n">
        <v>8.6</v>
      </c>
      <c r="J6" t="n">
        <v>3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4</v>
      </c>
      <c r="T6" t="n">
        <v>4</v>
      </c>
      <c r="U6" t="n">
        <v>0</v>
      </c>
      <c r="V6" s="2" t="inlineStr">
        <is>
          <t>Gulsparv
Nötkråka
Sotriska
Skogsduva</t>
        </is>
      </c>
      <c r="W6">
        <f>HYPERLINK("https://klasma.github.io/Logging_1494/artfynd/A 32280-2022 artfynd.xlsx", "A 32280-2022")</f>
        <v/>
      </c>
      <c r="X6">
        <f>HYPERLINK("https://klasma.github.io/Logging_1494/kartor/A 32280-2022 karta.png", "A 32280-2022")</f>
        <v/>
      </c>
      <c r="Y6">
        <f>HYPERLINK("https://klasma.github.io/Logging_1494/kartor_geotiff/A 32280-2022 georefererad karta.tif", "A 32280-2022")</f>
        <v/>
      </c>
      <c r="AA6">
        <f>HYPERLINK("https://klasma.github.io/Logging_1494/klagomål/A 32280-2022 FSC-klagomål.docx", "A 32280-2022")</f>
        <v/>
      </c>
      <c r="AB6">
        <f>HYPERLINK("https://klasma.github.io/Logging_1494/klagomålsmail/A 32280-2022 FSC-klagomål mail.docx", "A 32280-2022")</f>
        <v/>
      </c>
      <c r="AC6">
        <f>HYPERLINK("https://klasma.github.io/Logging_1494/tillsyn/A 32280-2022 tillsynsbegäran.docx", "A 32280-2022")</f>
        <v/>
      </c>
      <c r="AD6">
        <f>HYPERLINK("https://klasma.github.io/Logging_1494/tillsynsmail/A 32280-2022 tillsynsbegäran mail.docx", "A 32280-2022")</f>
        <v/>
      </c>
      <c r="AE6">
        <f>HYPERLINK("https://klasma.github.io/Logging_1494/fåglar/A 32280-2022 prioriterade fågelarter.docx", "A 32280-2022")</f>
        <v/>
      </c>
    </row>
    <row r="7" ht="15" customHeight="1">
      <c r="A7" t="inlineStr">
        <is>
          <t>A 28849-2024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45478</v>
      </c>
      <c r="E7" s="1" t="n">
        <v>46322</v>
      </c>
      <c r="F7" t="inlineStr">
        <is>
          <t>VÄSTRA GÖTALANDS LÄN</t>
        </is>
      </c>
      <c r="G7" t="inlineStr">
        <is>
          <t>LIDKÖPING</t>
        </is>
      </c>
      <c r="I7" t="n">
        <v>2.6</v>
      </c>
      <c r="J7" t="n">
        <v>4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4</v>
      </c>
      <c r="T7" t="n">
        <v>4</v>
      </c>
      <c r="U7" t="n">
        <v>0</v>
      </c>
      <c r="V7" s="2" t="inlineStr">
        <is>
          <t>Entita
Talltita
Grönsiska
Kungsfågel</t>
        </is>
      </c>
      <c r="W7">
        <f>HYPERLINK("https://klasma.github.io/Logging_1494/artfynd/A 28849-2024 artfynd.xlsx", "A 28849-2024")</f>
        <v/>
      </c>
      <c r="X7">
        <f>HYPERLINK("https://klasma.github.io/Logging_1494/kartor/A 28849-2024 karta.png", "A 28849-2024")</f>
        <v/>
      </c>
      <c r="Y7">
        <f>HYPERLINK("https://klasma.github.io/Logging_1494/kartor_geotiff/A 28849-2024 georefererad karta.tif", "A 28849-2024")</f>
        <v/>
      </c>
      <c r="AA7">
        <f>HYPERLINK("https://klasma.github.io/Logging_1494/klagomål/A 28849-2024 FSC-klagomål.docx", "A 28849-2024")</f>
        <v/>
      </c>
      <c r="AB7">
        <f>HYPERLINK("https://klasma.github.io/Logging_1494/klagomålsmail/A 28849-2024 FSC-klagomål mail.docx", "A 28849-2024")</f>
        <v/>
      </c>
      <c r="AC7">
        <f>HYPERLINK("https://klasma.github.io/Logging_1494/tillsyn/A 28849-2024 tillsynsbegäran.docx", "A 28849-2024")</f>
        <v/>
      </c>
      <c r="AD7">
        <f>HYPERLINK("https://klasma.github.io/Logging_1494/tillsynsmail/A 28849-2024 tillsynsbegäran mail.docx", "A 28849-2024")</f>
        <v/>
      </c>
      <c r="AE7">
        <f>HYPERLINK("https://klasma.github.io/Logging_1494/fåglar/A 28849-2024 prioriterade fågelarter.docx", "A 28849-2024")</f>
        <v/>
      </c>
    </row>
    <row r="8" ht="15" customHeight="1">
      <c r="A8" t="inlineStr">
        <is>
          <t>A 34942-2026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46259</v>
      </c>
      <c r="E8" s="1" t="n">
        <v>46322</v>
      </c>
      <c r="F8" t="inlineStr">
        <is>
          <t>VÄSTRA GÖTALANDS LÄN</t>
        </is>
      </c>
      <c r="G8" t="inlineStr">
        <is>
          <t>LIDKÖPING</t>
        </is>
      </c>
      <c r="I8" t="n">
        <v>18.1</v>
      </c>
      <c r="J8" t="n">
        <v>3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4</v>
      </c>
      <c r="T8" t="n">
        <v>4</v>
      </c>
      <c r="U8" t="n">
        <v>0</v>
      </c>
      <c r="V8" s="2" t="inlineStr">
        <is>
          <t>Gulsparv
Nötkråka
Sotriska
Skogsduva</t>
        </is>
      </c>
      <c r="W8">
        <f>HYPERLINK("https://klasma.github.io/Logging_1494/artfynd/A 34942-2026 artfynd.xlsx", "A 34942-2026")</f>
        <v/>
      </c>
      <c r="X8">
        <f>HYPERLINK("https://klasma.github.io/Logging_1494/kartor/A 34942-2026 karta.png", "A 34942-2026")</f>
        <v/>
      </c>
      <c r="Y8">
        <f>HYPERLINK("https://klasma.github.io/Logging_1494/kartor_geotiff/A 34942-2026 georefererad karta.tif", "A 34942-2026")</f>
        <v/>
      </c>
      <c r="AA8">
        <f>HYPERLINK("https://klasma.github.io/Logging_1494/klagomål/A 34942-2026 FSC-klagomål.docx", "A 34942-2026")</f>
        <v/>
      </c>
      <c r="AB8">
        <f>HYPERLINK("https://klasma.github.io/Logging_1494/klagomålsmail/A 34942-2026 FSC-klagomål mail.docx", "A 34942-2026")</f>
        <v/>
      </c>
      <c r="AC8">
        <f>HYPERLINK("https://klasma.github.io/Logging_1494/tillsyn/A 34942-2026 tillsynsbegäran.docx", "A 34942-2026")</f>
        <v/>
      </c>
      <c r="AD8">
        <f>HYPERLINK("https://klasma.github.io/Logging_1494/tillsynsmail/A 34942-2026 tillsynsbegäran mail.docx", "A 34942-2026")</f>
        <v/>
      </c>
      <c r="AE8">
        <f>HYPERLINK("https://klasma.github.io/Logging_1494/fåglar/A 34942-2026 prioriterade fågelarter.docx", "A 34942-2026")</f>
        <v/>
      </c>
    </row>
    <row r="9" ht="15" customHeight="1">
      <c r="A9" t="inlineStr">
        <is>
          <t>A 4831-2025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45688</v>
      </c>
      <c r="E9" s="1" t="n">
        <v>46322</v>
      </c>
      <c r="F9" t="inlineStr">
        <is>
          <t>VÄSTRA GÖTALANDS LÄN</t>
        </is>
      </c>
      <c r="G9" t="inlineStr">
        <is>
          <t>LIDKÖPING</t>
        </is>
      </c>
      <c r="I9" t="n">
        <v>1.3</v>
      </c>
      <c r="J9" t="n">
        <v>0</v>
      </c>
      <c r="K9" t="n">
        <v>1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2</v>
      </c>
      <c r="R9" t="n">
        <v>2</v>
      </c>
      <c r="S9" t="n">
        <v>3</v>
      </c>
      <c r="T9" t="n">
        <v>3</v>
      </c>
      <c r="U9" t="n">
        <v>0</v>
      </c>
      <c r="V9" s="2" t="inlineStr">
        <is>
          <t>Ask
Skogsalm
Barkticka</t>
        </is>
      </c>
      <c r="W9">
        <f>HYPERLINK("https://klasma.github.io/Logging_1494/artfynd/A 4831-2025 artfynd.xlsx", "A 4831-2025")</f>
        <v/>
      </c>
      <c r="X9">
        <f>HYPERLINK("https://klasma.github.io/Logging_1494/kartor/A 4831-2025 karta.png", "A 4831-2025")</f>
        <v/>
      </c>
      <c r="Y9">
        <f>HYPERLINK("https://klasma.github.io/Logging_1494/kartor_geotiff/A 4831-2025 georefererad karta.tif", "A 4831-2025")</f>
        <v/>
      </c>
      <c r="AA9">
        <f>HYPERLINK("https://klasma.github.io/Logging_1494/klagomål/A 4831-2025 FSC-klagomål.docx", "A 4831-2025")</f>
        <v/>
      </c>
      <c r="AB9">
        <f>HYPERLINK("https://klasma.github.io/Logging_1494/klagomålsmail/A 4831-2025 FSC-klagomål mail.docx", "A 4831-2025")</f>
        <v/>
      </c>
      <c r="AC9">
        <f>HYPERLINK("https://klasma.github.io/Logging_1494/tillsyn/A 4831-2025 tillsynsbegäran.docx", "A 4831-2025")</f>
        <v/>
      </c>
      <c r="AD9">
        <f>HYPERLINK("https://klasma.github.io/Logging_1494/tillsynsmail/A 4831-2025 tillsynsbegäran mail.docx", "A 4831-2025")</f>
        <v/>
      </c>
    </row>
    <row r="10" ht="15" customHeight="1">
      <c r="A10" t="inlineStr">
        <is>
          <t>A 47321-2023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45202</v>
      </c>
      <c r="E10" s="1" t="n">
        <v>46322</v>
      </c>
      <c r="F10" t="inlineStr">
        <is>
          <t>VÄSTRA GÖTALANDS LÄN</t>
        </is>
      </c>
      <c r="G10" t="inlineStr">
        <is>
          <t>LIDKÖPING</t>
        </is>
      </c>
      <c r="I10" t="n">
        <v>7.3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3</v>
      </c>
      <c r="U10" t="n">
        <v>3</v>
      </c>
      <c r="V10" s="2" t="inlineStr">
        <is>
          <t>Spillkråka
Kråka
Kungsfågel</t>
        </is>
      </c>
      <c r="W10">
        <f>HYPERLINK("https://klasma.github.io/Logging_1494/artfynd/A 47321-2023 artfynd.xlsx", "A 47321-2023")</f>
        <v/>
      </c>
      <c r="X10">
        <f>HYPERLINK("https://klasma.github.io/Logging_1494/kartor/A 47321-2023 karta.png", "A 47321-2023")</f>
        <v/>
      </c>
      <c r="Y10">
        <f>HYPERLINK("https://klasma.github.io/Logging_1494/kartor_geotiff/A 47321-2023 georefererad karta.tif", "A 47321-2023")</f>
        <v/>
      </c>
      <c r="AA10">
        <f>HYPERLINK("https://klasma.github.io/Logging_1494/klagomål/A 47321-2023 FSC-klagomål.docx", "A 47321-2023")</f>
        <v/>
      </c>
      <c r="AB10">
        <f>HYPERLINK("https://klasma.github.io/Logging_1494/klagomålsmail/A 47321-2023 FSC-klagomål mail.docx", "A 47321-2023")</f>
        <v/>
      </c>
      <c r="AC10">
        <f>HYPERLINK("https://klasma.github.io/Logging_1494/tillsyn/A 47321-2023 tillsynsbegäran.docx", "A 47321-2023")</f>
        <v/>
      </c>
      <c r="AD10">
        <f>HYPERLINK("https://klasma.github.io/Logging_1494/tillsynsmail/A 47321-2023 tillsynsbegäran mail.docx", "A 47321-2023")</f>
        <v/>
      </c>
      <c r="AE10">
        <f>HYPERLINK("https://klasma.github.io/Logging_1494/fåglar/A 47321-2023 prioriterade fågelarter.docx", "A 47321-2023")</f>
        <v/>
      </c>
    </row>
    <row r="11" ht="15" customHeight="1">
      <c r="A11" t="inlineStr">
        <is>
          <t>A 15219-2024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45400</v>
      </c>
      <c r="E11" s="1" t="n">
        <v>46322</v>
      </c>
      <c r="F11" t="inlineStr">
        <is>
          <t>VÄSTRA GÖTALANDS LÄN</t>
        </is>
      </c>
      <c r="G11" t="inlineStr">
        <is>
          <t>LIDKÖPING</t>
        </is>
      </c>
      <c r="I11" t="n">
        <v>6.7</v>
      </c>
      <c r="J11" t="n">
        <v>1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3</v>
      </c>
      <c r="T11" t="n">
        <v>3</v>
      </c>
      <c r="U11" t="n">
        <v>0</v>
      </c>
      <c r="V11" s="2" t="inlineStr">
        <is>
          <t>Tallticka
Tårkragskivling
Kungsfågel</t>
        </is>
      </c>
      <c r="W11">
        <f>HYPERLINK("https://klasma.github.io/Logging_1494/artfynd/A 15219-2024 artfynd.xlsx", "A 15219-2024")</f>
        <v/>
      </c>
      <c r="X11">
        <f>HYPERLINK("https://klasma.github.io/Logging_1494/kartor/A 15219-2024 karta.png", "A 15219-2024")</f>
        <v/>
      </c>
      <c r="Y11">
        <f>HYPERLINK("https://klasma.github.io/Logging_1494/kartor_geotiff/A 15219-2024 georefererad karta.tif", "A 15219-2024")</f>
        <v/>
      </c>
      <c r="AA11">
        <f>HYPERLINK("https://klasma.github.io/Logging_1494/klagomål/A 15219-2024 FSC-klagomål.docx", "A 15219-2024")</f>
        <v/>
      </c>
      <c r="AB11">
        <f>HYPERLINK("https://klasma.github.io/Logging_1494/klagomålsmail/A 15219-2024 FSC-klagomål mail.docx", "A 15219-2024")</f>
        <v/>
      </c>
      <c r="AC11">
        <f>HYPERLINK("https://klasma.github.io/Logging_1494/tillsyn/A 15219-2024 tillsynsbegäran.docx", "A 15219-2024")</f>
        <v/>
      </c>
      <c r="AD11">
        <f>HYPERLINK("https://klasma.github.io/Logging_1494/tillsynsmail/A 15219-2024 tillsynsbegäran mail.docx", "A 15219-2024")</f>
        <v/>
      </c>
    </row>
    <row r="12" ht="15" customHeight="1">
      <c r="A12" t="inlineStr">
        <is>
          <t>A 41039-2025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45898</v>
      </c>
      <c r="E12" s="1" t="n">
        <v>46322</v>
      </c>
      <c r="F12" t="inlineStr">
        <is>
          <t>VÄSTRA GÖTALANDS LÄN</t>
        </is>
      </c>
      <c r="G12" t="inlineStr">
        <is>
          <t>LIDKÖPING</t>
        </is>
      </c>
      <c r="H12" t="inlineStr">
        <is>
          <t>Kommuner</t>
        </is>
      </c>
      <c r="I12" t="n">
        <v>1.4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Apelsinticka
Grovticka</t>
        </is>
      </c>
      <c r="W12">
        <f>HYPERLINK("https://klasma.github.io/Logging_1494/artfynd/A 41039-2025 artfynd.xlsx", "A 41039-2025")</f>
        <v/>
      </c>
      <c r="X12">
        <f>HYPERLINK("https://klasma.github.io/Logging_1494/kartor/A 41039-2025 karta.png", "A 41039-2025")</f>
        <v/>
      </c>
      <c r="Y12">
        <f>HYPERLINK("https://klasma.github.io/Logging_1494/kartor_geotiff/A 41039-2025 georefererad karta.tif", "A 41039-2025")</f>
        <v/>
      </c>
      <c r="AA12">
        <f>HYPERLINK("https://klasma.github.io/Logging_1494/klagomål/A 41039-2025 FSC-klagomål.docx", "A 41039-2025")</f>
        <v/>
      </c>
      <c r="AB12">
        <f>HYPERLINK("https://klasma.github.io/Logging_1494/klagomålsmail/A 41039-2025 FSC-klagomål mail.docx", "A 41039-2025")</f>
        <v/>
      </c>
      <c r="AC12">
        <f>HYPERLINK("https://klasma.github.io/Logging_1494/tillsyn/A 41039-2025 tillsynsbegäran.docx", "A 41039-2025")</f>
        <v/>
      </c>
      <c r="AD12">
        <f>HYPERLINK("https://klasma.github.io/Logging_1494/tillsynsmail/A 41039-2025 tillsynsbegäran mail.docx", "A 41039-2025")</f>
        <v/>
      </c>
    </row>
    <row r="13" ht="15" customHeight="1">
      <c r="A13" t="inlineStr">
        <is>
          <t>A 7261-2025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45702</v>
      </c>
      <c r="E13" s="1" t="n">
        <v>46322</v>
      </c>
      <c r="F13" t="inlineStr">
        <is>
          <t>VÄSTRA GÖTALANDS LÄN</t>
        </is>
      </c>
      <c r="G13" t="inlineStr">
        <is>
          <t>LIDKÖPING</t>
        </is>
      </c>
      <c r="I13" t="n">
        <v>2.3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6</v>
      </c>
      <c r="U13" t="n">
        <v>6</v>
      </c>
      <c r="V13" s="2" t="inlineStr">
        <is>
          <t>Knärot
Västlig hakmossa</t>
        </is>
      </c>
      <c r="W13">
        <f>HYPERLINK("https://klasma.github.io/Logging_1494/artfynd/A 7261-2025 artfynd.xlsx", "A 7261-2025")</f>
        <v/>
      </c>
      <c r="X13">
        <f>HYPERLINK("https://klasma.github.io/Logging_1494/kartor/A 7261-2025 karta.png", "A 7261-2025")</f>
        <v/>
      </c>
      <c r="Y13">
        <f>HYPERLINK("https://klasma.github.io/Logging_1494/kartor_geotiff/A 7261-2025 georefererad karta.tif", "A 7261-2025")</f>
        <v/>
      </c>
      <c r="Z13">
        <f>HYPERLINK("https://klasma.github.io/Logging_1494/knärot/A 7261-2025 karta knärot.png", "A 7261-2025")</f>
        <v/>
      </c>
      <c r="AA13">
        <f>HYPERLINK("https://klasma.github.io/Logging_1494/klagomål/A 7261-2025 FSC-klagomål.docx", "A 7261-2025")</f>
        <v/>
      </c>
      <c r="AB13">
        <f>HYPERLINK("https://klasma.github.io/Logging_1494/klagomålsmail/A 7261-2025 FSC-klagomål mail.docx", "A 7261-2025")</f>
        <v/>
      </c>
      <c r="AC13">
        <f>HYPERLINK("https://klasma.github.io/Logging_1494/tillsyn/A 7261-2025 tillsynsbegäran.docx", "A 7261-2025")</f>
        <v/>
      </c>
      <c r="AD13">
        <f>HYPERLINK("https://klasma.github.io/Logging_1494/tillsynsmail/A 7261-2025 tillsynsbegäran mail.docx", "A 7261-2025")</f>
        <v/>
      </c>
    </row>
    <row r="14" ht="15" customHeight="1">
      <c r="A14" t="inlineStr">
        <is>
          <t>A 41088-2026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46300</v>
      </c>
      <c r="E14" s="1" t="n">
        <v>46322</v>
      </c>
      <c r="F14" t="inlineStr">
        <is>
          <t>VÄSTRA GÖTALANDS LÄN</t>
        </is>
      </c>
      <c r="G14" t="inlineStr">
        <is>
          <t>LIDKÖPING</t>
        </is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Spillkråka
Tofsmes</t>
        </is>
      </c>
      <c r="W14">
        <f>HYPERLINK("https://klasma.github.io/Logging_1494/artfynd/A 41088-2026 artfynd.xlsx", "A 41088-2026")</f>
        <v/>
      </c>
      <c r="X14">
        <f>HYPERLINK("https://klasma.github.io/Logging_1494/kartor/A 41088-2026 karta.png", "A 41088-2026")</f>
        <v/>
      </c>
      <c r="Y14">
        <f>HYPERLINK("https://klasma.github.io/Logging_1494/kartor_geotiff/A 41088-2026 georefererad karta.tif", "A 41088-2026")</f>
        <v/>
      </c>
      <c r="AA14">
        <f>HYPERLINK("https://klasma.github.io/Logging_1494/klagomål/A 41088-2026 FSC-klagomål.docx", "A 41088-2026")</f>
        <v/>
      </c>
      <c r="AB14">
        <f>HYPERLINK("https://klasma.github.io/Logging_1494/klagomålsmail/A 41088-2026 FSC-klagomål mail.docx", "A 41088-2026")</f>
        <v/>
      </c>
      <c r="AC14">
        <f>HYPERLINK("https://klasma.github.io/Logging_1494/tillsyn/A 41088-2026 tillsynsbegäran.docx", "A 41088-2026")</f>
        <v/>
      </c>
      <c r="AD14">
        <f>HYPERLINK("https://klasma.github.io/Logging_1494/tillsynsmail/A 41088-2026 tillsynsbegäran mail.docx", "A 41088-2026")</f>
        <v/>
      </c>
      <c r="AE14">
        <f>HYPERLINK("https://klasma.github.io/Logging_1494/fåglar/A 41088-2026 prioriterade fågelarter.docx", "A 41088-2026")</f>
        <v/>
      </c>
    </row>
    <row r="15" ht="15" customHeight="1">
      <c r="A15" t="inlineStr">
        <is>
          <t>S 1354-2022</t>
        </is>
      </c>
      <c r="B15" t="inlineStr">
        <is>
          <t>samrådsanmälan</t>
        </is>
      </c>
      <c r="C15" t="inlineStr">
        <is>
          <t>Askåterföring</t>
        </is>
      </c>
      <c r="D15" s="1" t="n">
        <v>44630</v>
      </c>
      <c r="E15" s="1" t="n">
        <v>46322</v>
      </c>
      <c r="F15" t="inlineStr">
        <is>
          <t>VÄSTRA GÖTALANDS LÄN</t>
        </is>
      </c>
      <c r="G15" t="inlineStr">
        <is>
          <t>LIDKÖPING</t>
        </is>
      </c>
      <c r="H15" t="inlineStr">
        <is>
          <t>Kyrkan</t>
        </is>
      </c>
      <c r="I15" t="n">
        <v>53.6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Gulpudrad spiklav
Dvärgpipistrell</t>
        </is>
      </c>
      <c r="W15">
        <f>HYPERLINK("https://klasma.github.io/Logging_1494/artfynd/S 1354-2022 artfynd.xlsx", "S 1354-2022")</f>
        <v/>
      </c>
      <c r="X15">
        <f>HYPERLINK("https://klasma.github.io/Logging_1494/kartor/S 1354-2022 karta.png", "S 1354-2022")</f>
        <v/>
      </c>
      <c r="Y15">
        <f>HYPERLINK("https://klasma.github.io/Logging_1494/kartor_geotiff/S 1354-2022 georefererad karta.tif", "S 1354-2022")</f>
        <v/>
      </c>
      <c r="AA15">
        <f>HYPERLINK("https://klasma.github.io/Logging_1494/klagomål/S 1354-2022 FSC-klagomål.docx", "S 1354-2022")</f>
        <v/>
      </c>
      <c r="AB15">
        <f>HYPERLINK("https://klasma.github.io/Logging_1494/klagomålsmail/S 1354-2022 FSC-klagomål mail.docx", "S 1354-2022")</f>
        <v/>
      </c>
      <c r="AC15">
        <f>HYPERLINK("https://klasma.github.io/Logging_1494/tillsyn/S 1354-2022 tillsynsbegäran.docx", "S 1354-2022")</f>
        <v/>
      </c>
      <c r="AD15">
        <f>HYPERLINK("https://klasma.github.io/Logging_1494/tillsynsmail/S 1354-2022 tillsynsbegäran mail.docx", "S 1354-2022")</f>
        <v/>
      </c>
    </row>
    <row r="16" ht="15" customHeight="1">
      <c r="A16" t="inlineStr">
        <is>
          <t>A 62569-2022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44924</v>
      </c>
      <c r="E16" s="1" t="n">
        <v>46322</v>
      </c>
      <c r="F16" t="inlineStr">
        <is>
          <t>VÄSTRA GÖTALANDS LÄN</t>
        </is>
      </c>
      <c r="G16" t="inlineStr">
        <is>
          <t>LIDKÖPING</t>
        </is>
      </c>
      <c r="I16" t="n">
        <v>0.9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s="2" t="inlineStr">
        <is>
          <t>Skogsalm</t>
        </is>
      </c>
      <c r="W16">
        <f>HYPERLINK("https://klasma.github.io/Logging_1494/artfynd/A 62569-2022 artfynd.xlsx", "A 62569-2022")</f>
        <v/>
      </c>
      <c r="X16">
        <f>HYPERLINK("https://klasma.github.io/Logging_1494/kartor/A 62569-2022 karta.png", "A 62569-2022")</f>
        <v/>
      </c>
      <c r="Y16">
        <f>HYPERLINK("https://klasma.github.io/Logging_1494/kartor_geotiff/A 62569-2022 georefererad karta.tif", "A 62569-2022")</f>
        <v/>
      </c>
      <c r="AA16">
        <f>HYPERLINK("https://klasma.github.io/Logging_1494/klagomål/A 62569-2022 FSC-klagomål.docx", "A 62569-2022")</f>
        <v/>
      </c>
      <c r="AB16">
        <f>HYPERLINK("https://klasma.github.io/Logging_1494/klagomålsmail/A 62569-2022 FSC-klagomål mail.docx", "A 62569-2022")</f>
        <v/>
      </c>
      <c r="AC16">
        <f>HYPERLINK("https://klasma.github.io/Logging_1494/tillsyn/A 62569-2022 tillsynsbegäran.docx", "A 62569-2022")</f>
        <v/>
      </c>
      <c r="AD16">
        <f>HYPERLINK("https://klasma.github.io/Logging_1494/tillsynsmail/A 62569-2022 tillsynsbegäran mail.docx", "A 62569-2022")</f>
        <v/>
      </c>
    </row>
    <row r="17" ht="15" customHeight="1">
      <c r="A17" t="inlineStr">
        <is>
          <t>A 10476-2023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44987</v>
      </c>
      <c r="E17" s="1" t="n">
        <v>46322</v>
      </c>
      <c r="F17" t="inlineStr">
        <is>
          <t>VÄSTRA GÖTALANDS LÄN</t>
        </is>
      </c>
      <c r="G17" t="inlineStr">
        <is>
          <t>LIDKÖPING</t>
        </is>
      </c>
      <c r="I17" t="n">
        <v>2.2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Kungsfågel</t>
        </is>
      </c>
      <c r="W17">
        <f>HYPERLINK("https://klasma.github.io/Logging_1494/artfynd/A 10476-2023 artfynd.xlsx", "A 10476-2023")</f>
        <v/>
      </c>
      <c r="X17">
        <f>HYPERLINK("https://klasma.github.io/Logging_1494/kartor/A 10476-2023 karta.png", "A 10476-2023")</f>
        <v/>
      </c>
      <c r="Y17">
        <f>HYPERLINK("https://klasma.github.io/Logging_1494/kartor_geotiff/A 10476-2023 georefererad karta.tif", "A 10476-2023")</f>
        <v/>
      </c>
      <c r="AA17">
        <f>HYPERLINK("https://klasma.github.io/Logging_1494/klagomål/A 10476-2023 FSC-klagomål.docx", "A 10476-2023")</f>
        <v/>
      </c>
      <c r="AB17">
        <f>HYPERLINK("https://klasma.github.io/Logging_1494/klagomålsmail/A 10476-2023 FSC-klagomål mail.docx", "A 10476-2023")</f>
        <v/>
      </c>
      <c r="AC17">
        <f>HYPERLINK("https://klasma.github.io/Logging_1494/tillsyn/A 10476-2023 tillsynsbegäran.docx", "A 10476-2023")</f>
        <v/>
      </c>
      <c r="AD17">
        <f>HYPERLINK("https://klasma.github.io/Logging_1494/tillsynsmail/A 10476-2023 tillsynsbegäran mail.docx", "A 10476-2023")</f>
        <v/>
      </c>
    </row>
    <row r="18" ht="15" customHeight="1">
      <c r="A18" t="inlineStr">
        <is>
          <t>A 44680-2023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45189</v>
      </c>
      <c r="E18" s="1" t="n">
        <v>46322</v>
      </c>
      <c r="F18" t="inlineStr">
        <is>
          <t>VÄSTRA GÖTALANDS LÄN</t>
        </is>
      </c>
      <c r="G18" t="inlineStr">
        <is>
          <t>LIDKÖPING</t>
        </is>
      </c>
      <c r="I18" t="n">
        <v>3.1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Trädlärka</t>
        </is>
      </c>
      <c r="W18">
        <f>HYPERLINK("https://klasma.github.io/Logging_1494/artfynd/A 44680-2023 artfynd.xlsx", "A 44680-2023")</f>
        <v/>
      </c>
      <c r="X18">
        <f>HYPERLINK("https://klasma.github.io/Logging_1494/kartor/A 44680-2023 karta.png", "A 44680-2023")</f>
        <v/>
      </c>
      <c r="Y18">
        <f>HYPERLINK("https://klasma.github.io/Logging_1494/kartor_geotiff/A 44680-2023 georefererad karta.tif", "A 44680-2023")</f>
        <v/>
      </c>
      <c r="AA18">
        <f>HYPERLINK("https://klasma.github.io/Logging_1494/klagomål/A 44680-2023 FSC-klagomål.docx", "A 44680-2023")</f>
        <v/>
      </c>
      <c r="AB18">
        <f>HYPERLINK("https://klasma.github.io/Logging_1494/klagomålsmail/A 44680-2023 FSC-klagomål mail.docx", "A 44680-2023")</f>
        <v/>
      </c>
      <c r="AC18">
        <f>HYPERLINK("https://klasma.github.io/Logging_1494/tillsyn/A 44680-2023 tillsynsbegäran.docx", "A 44680-2023")</f>
        <v/>
      </c>
      <c r="AD18">
        <f>HYPERLINK("https://klasma.github.io/Logging_1494/tillsynsmail/A 44680-2023 tillsynsbegäran mail.docx", "A 44680-2023")</f>
        <v/>
      </c>
      <c r="AE18">
        <f>HYPERLINK("https://klasma.github.io/Logging_1494/fåglar/A 44680-2023 prioriterade fågelarter.docx", "A 44680-2023")</f>
        <v/>
      </c>
    </row>
    <row r="19" ht="15" customHeight="1">
      <c r="A19" t="inlineStr">
        <is>
          <t>A 24352-2025</t>
        </is>
      </c>
      <c r="B19" t="inlineStr">
        <is>
          <t>avverkningsanmälan</t>
        </is>
      </c>
      <c r="C19" t="inlineStr">
        <is>
          <t>Avverkning för att bevara och utveckla /försöksver</t>
        </is>
      </c>
      <c r="D19" s="1" t="n">
        <v>45797</v>
      </c>
      <c r="E19" s="1" t="n">
        <v>46322</v>
      </c>
      <c r="F19" t="inlineStr">
        <is>
          <t>VÄSTRA GÖTALANDS LÄN</t>
        </is>
      </c>
      <c r="G19" t="inlineStr">
        <is>
          <t>LIDKÖPING</t>
        </is>
      </c>
      <c r="I19" t="n">
        <v>1.1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Spillkråka</t>
        </is>
      </c>
      <c r="W19">
        <f>HYPERLINK("https://klasma.github.io/Logging_1494/artfynd/A 24352-2025 artfynd.xlsx", "A 24352-2025")</f>
        <v/>
      </c>
      <c r="X19">
        <f>HYPERLINK("https://klasma.github.io/Logging_1494/kartor/A 24352-2025 karta.png", "A 24352-2025")</f>
        <v/>
      </c>
      <c r="Y19">
        <f>HYPERLINK("https://klasma.github.io/Logging_1494/kartor_geotiff/A 24352-2025 georefererad karta.tif", "A 24352-2025")</f>
        <v/>
      </c>
      <c r="AA19">
        <f>HYPERLINK("https://klasma.github.io/Logging_1494/klagomål/A 24352-2025 FSC-klagomål.docx", "A 24352-2025")</f>
        <v/>
      </c>
      <c r="AB19">
        <f>HYPERLINK("https://klasma.github.io/Logging_1494/klagomålsmail/A 24352-2025 FSC-klagomål mail.docx", "A 24352-2025")</f>
        <v/>
      </c>
      <c r="AC19">
        <f>HYPERLINK("https://klasma.github.io/Logging_1494/tillsyn/A 24352-2025 tillsynsbegäran.docx", "A 24352-2025")</f>
        <v/>
      </c>
      <c r="AD19">
        <f>HYPERLINK("https://klasma.github.io/Logging_1494/tillsynsmail/A 24352-2025 tillsynsbegäran mail.docx", "A 24352-2025")</f>
        <v/>
      </c>
      <c r="AE19">
        <f>HYPERLINK("https://klasma.github.io/Logging_1494/fåglar/A 24352-2025 prioriterade fågelarter.docx", "A 24352-2025")</f>
        <v/>
      </c>
    </row>
    <row r="20" ht="15" customHeight="1">
      <c r="A20" t="inlineStr">
        <is>
          <t>A 62629-2022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44925</v>
      </c>
      <c r="E20" s="1" t="n">
        <v>46322</v>
      </c>
      <c r="F20" t="inlineStr">
        <is>
          <t>VÄSTRA GÖTALANDS LÄN</t>
        </is>
      </c>
      <c r="G20" t="inlineStr">
        <is>
          <t>LIDKÖPING</t>
        </is>
      </c>
      <c r="I20" t="n">
        <v>1.8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s="2" t="inlineStr">
        <is>
          <t>Igelkott</t>
        </is>
      </c>
      <c r="W20">
        <f>HYPERLINK("https://klasma.github.io/Logging_1494/artfynd/A 62629-2022 artfynd.xlsx", "A 62629-2022")</f>
        <v/>
      </c>
      <c r="X20">
        <f>HYPERLINK("https://klasma.github.io/Logging_1494/kartor/A 62629-2022 karta.png", "A 62629-2022")</f>
        <v/>
      </c>
      <c r="Y20">
        <f>HYPERLINK("https://klasma.github.io/Logging_1494/kartor_geotiff/A 62629-2022 georefererad karta.tif", "A 62629-2022")</f>
        <v/>
      </c>
      <c r="AA20">
        <f>HYPERLINK("https://klasma.github.io/Logging_1494/klagomål/A 62629-2022 FSC-klagomål.docx", "A 62629-2022")</f>
        <v/>
      </c>
      <c r="AB20">
        <f>HYPERLINK("https://klasma.github.io/Logging_1494/klagomålsmail/A 62629-2022 FSC-klagomål mail.docx", "A 62629-2022")</f>
        <v/>
      </c>
      <c r="AC20">
        <f>HYPERLINK("https://klasma.github.io/Logging_1494/tillsyn/A 62629-2022 tillsynsbegäran.docx", "A 62629-2022")</f>
        <v/>
      </c>
      <c r="AD20">
        <f>HYPERLINK("https://klasma.github.io/Logging_1494/tillsynsmail/A 62629-2022 tillsynsbegäran mail.docx", "A 62629-2022")</f>
        <v/>
      </c>
    </row>
    <row r="21" ht="15" customHeight="1">
      <c r="A21" t="inlineStr">
        <is>
          <t>A 61818-2024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45649</v>
      </c>
      <c r="E21" s="1" t="n">
        <v>46322</v>
      </c>
      <c r="F21" t="inlineStr">
        <is>
          <t>VÄSTRA GÖTALANDS LÄN</t>
        </is>
      </c>
      <c r="G21" t="inlineStr">
        <is>
          <t>LIDKÖPING</t>
        </is>
      </c>
      <c r="I21" t="n">
        <v>6.2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Rödvingetrast</t>
        </is>
      </c>
      <c r="W21">
        <f>HYPERLINK("https://klasma.github.io/Logging_1494/artfynd/A 61818-2024 artfynd.xlsx", "A 61818-2024")</f>
        <v/>
      </c>
      <c r="X21">
        <f>HYPERLINK("https://klasma.github.io/Logging_1494/kartor/A 61818-2024 karta.png", "A 61818-2024")</f>
        <v/>
      </c>
      <c r="Y21">
        <f>HYPERLINK("https://klasma.github.io/Logging_1494/kartor_geotiff/A 61818-2024 georefererad karta.tif", "A 61818-2024")</f>
        <v/>
      </c>
      <c r="AA21">
        <f>HYPERLINK("https://klasma.github.io/Logging_1494/klagomål/A 61818-2024 FSC-klagomål.docx", "A 61818-2024")</f>
        <v/>
      </c>
      <c r="AB21">
        <f>HYPERLINK("https://klasma.github.io/Logging_1494/klagomålsmail/A 61818-2024 FSC-klagomål mail.docx", "A 61818-2024")</f>
        <v/>
      </c>
      <c r="AC21">
        <f>HYPERLINK("https://klasma.github.io/Logging_1494/tillsyn/A 61818-2024 tillsynsbegäran.docx", "A 61818-2024")</f>
        <v/>
      </c>
      <c r="AD21">
        <f>HYPERLINK("https://klasma.github.io/Logging_1494/tillsynsmail/A 61818-2024 tillsynsbegäran mail.docx", "A 61818-2024")</f>
        <v/>
      </c>
      <c r="AE21">
        <f>HYPERLINK("https://klasma.github.io/Logging_1494/fåglar/A 61818-2024 prioriterade fågelarter.docx", "A 61818-2024")</f>
        <v/>
      </c>
    </row>
    <row r="22" ht="15" customHeight="1">
      <c r="A22" t="inlineStr">
        <is>
          <t>A 41746-2026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46302</v>
      </c>
      <c r="E22" s="1" t="n">
        <v>46322</v>
      </c>
      <c r="F22" t="inlineStr">
        <is>
          <t>VÄSTRA GÖTALANDS LÄN</t>
        </is>
      </c>
      <c r="G22" t="inlineStr">
        <is>
          <t>LIDKÖPING</t>
        </is>
      </c>
      <c r="H22" t="inlineStr">
        <is>
          <t>Kommuner</t>
        </is>
      </c>
      <c r="I22" t="n">
        <v>3.1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Vanlig snok</t>
        </is>
      </c>
      <c r="W22">
        <f>HYPERLINK("https://klasma.github.io/Logging_1494/artfynd/A 41746-2026 artfynd.xlsx", "A 41746-2026")</f>
        <v/>
      </c>
      <c r="X22">
        <f>HYPERLINK("https://klasma.github.io/Logging_1494/kartor/A 41746-2026 karta.png", "A 41746-2026")</f>
        <v/>
      </c>
      <c r="Y22">
        <f>HYPERLINK("https://klasma.github.io/Logging_1494/kartor_geotiff/A 41746-2026 georefererad karta.tif", "A 41746-2026")</f>
        <v/>
      </c>
      <c r="AA22">
        <f>HYPERLINK("https://klasma.github.io/Logging_1494/klagomål/A 41746-2026 FSC-klagomål.docx", "A 41746-2026")</f>
        <v/>
      </c>
      <c r="AB22">
        <f>HYPERLINK("https://klasma.github.io/Logging_1494/klagomålsmail/A 41746-2026 FSC-klagomål mail.docx", "A 41746-2026")</f>
        <v/>
      </c>
      <c r="AC22">
        <f>HYPERLINK("https://klasma.github.io/Logging_1494/tillsyn/A 41746-2026 tillsynsbegäran.docx", "A 41746-2026")</f>
        <v/>
      </c>
      <c r="AD22">
        <f>HYPERLINK("https://klasma.github.io/Logging_1494/tillsynsmail/A 41746-2026 tillsynsbegäran mail.docx", "A 41746-2026")</f>
        <v/>
      </c>
    </row>
    <row r="23" ht="15" customHeight="1">
      <c r="A23" t="inlineStr">
        <is>
          <t>A 37136-2026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46274</v>
      </c>
      <c r="E23" s="1" t="n">
        <v>46322</v>
      </c>
      <c r="F23" t="inlineStr">
        <is>
          <t>VÄSTRA GÖTALANDS LÄN</t>
        </is>
      </c>
      <c r="G23" t="inlineStr">
        <is>
          <t>LIDKÖPING</t>
        </is>
      </c>
      <c r="I23" t="n">
        <v>6.6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Fiskgjuse</t>
        </is>
      </c>
      <c r="W23">
        <f>HYPERLINK("https://klasma.github.io/Logging_1494/artfynd/A 37136-2026 artfynd.xlsx", "A 37136-2026")</f>
        <v/>
      </c>
      <c r="X23">
        <f>HYPERLINK("https://klasma.github.io/Logging_1494/kartor/A 37136-2026 karta.png", "A 37136-2026")</f>
        <v/>
      </c>
      <c r="Y23">
        <f>HYPERLINK("https://klasma.github.io/Logging_1494/kartor_geotiff/A 37136-2026 georefererad karta.tif", "A 37136-2026")</f>
        <v/>
      </c>
      <c r="AA23">
        <f>HYPERLINK("https://klasma.github.io/Logging_1494/klagomål/A 37136-2026 FSC-klagomål.docx", "A 37136-2026")</f>
        <v/>
      </c>
      <c r="AB23">
        <f>HYPERLINK("https://klasma.github.io/Logging_1494/klagomålsmail/A 37136-2026 FSC-klagomål mail.docx", "A 37136-2026")</f>
        <v/>
      </c>
      <c r="AC23">
        <f>HYPERLINK("https://klasma.github.io/Logging_1494/tillsyn/A 37136-2026 tillsynsbegäran.docx", "A 37136-2026")</f>
        <v/>
      </c>
      <c r="AD23">
        <f>HYPERLINK("https://klasma.github.io/Logging_1494/tillsynsmail/A 37136-2026 tillsynsbegäran mail.docx", "A 37136-2026")</f>
        <v/>
      </c>
      <c r="AE23">
        <f>HYPERLINK("https://klasma.github.io/Logging_1494/fåglar/A 37136-2026 prioriterade fågelarter.docx", "A 37136-2026")</f>
        <v/>
      </c>
    </row>
    <row r="24" ht="15" customHeight="1">
      <c r="A24" t="inlineStr">
        <is>
          <t>A 33373-2022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44788</v>
      </c>
      <c r="E24" s="1" t="n">
        <v>46322</v>
      </c>
      <c r="F24" t="inlineStr">
        <is>
          <t>VÄSTRA GÖTALANDS LÄN</t>
        </is>
      </c>
      <c r="G24" t="inlineStr">
        <is>
          <t>LIDKÖPING</t>
        </is>
      </c>
      <c r="I24" t="n">
        <v>2.3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42563-2022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44831</v>
      </c>
      <c r="E25" s="1" t="n">
        <v>46322</v>
      </c>
      <c r="F25" t="inlineStr">
        <is>
          <t>VÄSTRA GÖTALANDS LÄN</t>
        </is>
      </c>
      <c r="G25" t="inlineStr">
        <is>
          <t>LIDKÖPING</t>
        </is>
      </c>
      <c r="I25" t="n">
        <v>2.8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40028-2022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44820</v>
      </c>
      <c r="E26" s="1" t="n">
        <v>46322</v>
      </c>
      <c r="F26" t="inlineStr">
        <is>
          <t>VÄSTRA GÖTALANDS LÄN</t>
        </is>
      </c>
      <c r="G26" t="inlineStr">
        <is>
          <t>LIDKÖPING</t>
        </is>
      </c>
      <c r="I26" t="n">
        <v>1.5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22660-2022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44714</v>
      </c>
      <c r="E27" s="1" t="n">
        <v>46322</v>
      </c>
      <c r="F27" t="inlineStr">
        <is>
          <t>VÄSTRA GÖTALANDS LÄN</t>
        </is>
      </c>
      <c r="G27" t="inlineStr">
        <is>
          <t>LIDKÖPING</t>
        </is>
      </c>
      <c r="I27" t="n">
        <v>1.2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560-2022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44566</v>
      </c>
      <c r="E28" s="1" t="n">
        <v>46322</v>
      </c>
      <c r="F28" t="inlineStr">
        <is>
          <t>VÄSTRA GÖTALANDS LÄN</t>
        </is>
      </c>
      <c r="G28" t="inlineStr">
        <is>
          <t>LIDKÖPING</t>
        </is>
      </c>
      <c r="I28" t="n">
        <v>2.3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72632-2021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44546</v>
      </c>
      <c r="E29" s="1" t="n">
        <v>46322</v>
      </c>
      <c r="F29" t="inlineStr">
        <is>
          <t>VÄSTRA GÖTALANDS LÄN</t>
        </is>
      </c>
      <c r="G29" t="inlineStr">
        <is>
          <t>LIDKÖPING</t>
        </is>
      </c>
      <c r="I29" t="n">
        <v>0.8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10791-2022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44627</v>
      </c>
      <c r="E30" s="1" t="n">
        <v>46322</v>
      </c>
      <c r="F30" t="inlineStr">
        <is>
          <t>VÄSTRA GÖTALANDS LÄN</t>
        </is>
      </c>
      <c r="G30" t="inlineStr">
        <is>
          <t>LIDKÖPING</t>
        </is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10811-2022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44627</v>
      </c>
      <c r="E31" s="1" t="n">
        <v>46322</v>
      </c>
      <c r="F31" t="inlineStr">
        <is>
          <t>VÄSTRA GÖTALANDS LÄN</t>
        </is>
      </c>
      <c r="G31" t="inlineStr">
        <is>
          <t>LIDKÖPING</t>
        </is>
      </c>
      <c r="I31" t="n">
        <v>0.6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24139-2022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44725</v>
      </c>
      <c r="E32" s="1" t="n">
        <v>46322</v>
      </c>
      <c r="F32" t="inlineStr">
        <is>
          <t>VÄSTRA GÖTALANDS LÄN</t>
        </is>
      </c>
      <c r="G32" t="inlineStr">
        <is>
          <t>LIDKÖPING</t>
        </is>
      </c>
      <c r="I32" t="n">
        <v>3.8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36744-2022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44805</v>
      </c>
      <c r="E33" s="1" t="n">
        <v>46322</v>
      </c>
      <c r="F33" t="inlineStr">
        <is>
          <t>VÄSTRA GÖTALANDS LÄN</t>
        </is>
      </c>
      <c r="G33" t="inlineStr">
        <is>
          <t>LIDKÖPING</t>
        </is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21335-2022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44705</v>
      </c>
      <c r="E34" s="1" t="n">
        <v>46322</v>
      </c>
      <c r="F34" t="inlineStr">
        <is>
          <t>VÄSTRA GÖTALANDS LÄN</t>
        </is>
      </c>
      <c r="G34" t="inlineStr">
        <is>
          <t>LIDKÖPING</t>
        </is>
      </c>
      <c r="I34" t="n">
        <v>1.8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9528-2022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44617</v>
      </c>
      <c r="E35" s="1" t="n">
        <v>46322</v>
      </c>
      <c r="F35" t="inlineStr">
        <is>
          <t>VÄSTRA GÖTALANDS LÄN</t>
        </is>
      </c>
      <c r="G35" t="inlineStr">
        <is>
          <t>LIDKÖPING</t>
        </is>
      </c>
      <c r="I35" t="n">
        <v>20.3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31159-2022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44770</v>
      </c>
      <c r="E36" s="1" t="n">
        <v>46322</v>
      </c>
      <c r="F36" t="inlineStr">
        <is>
          <t>VÄSTRA GÖTALANDS LÄN</t>
        </is>
      </c>
      <c r="G36" t="inlineStr">
        <is>
          <t>LIDKÖPING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27329-2022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44742</v>
      </c>
      <c r="E37" s="1" t="n">
        <v>46322</v>
      </c>
      <c r="F37" t="inlineStr">
        <is>
          <t>VÄSTRA GÖTALANDS LÄN</t>
        </is>
      </c>
      <c r="G37" t="inlineStr">
        <is>
          <t>LIDKÖPING</t>
        </is>
      </c>
      <c r="I37" t="n">
        <v>1.1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37155-2022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44806</v>
      </c>
      <c r="E38" s="1" t="n">
        <v>46322</v>
      </c>
      <c r="F38" t="inlineStr">
        <is>
          <t>VÄSTRA GÖTALANDS LÄN</t>
        </is>
      </c>
      <c r="G38" t="inlineStr">
        <is>
          <t>LIDKÖPING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65341-2021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44515</v>
      </c>
      <c r="E39" s="1" t="n">
        <v>46322</v>
      </c>
      <c r="F39" t="inlineStr">
        <is>
          <t>VÄSTRA GÖTALANDS LÄN</t>
        </is>
      </c>
      <c r="G39" t="inlineStr">
        <is>
          <t>LIDKÖPING</t>
        </is>
      </c>
      <c r="I39" t="n">
        <v>0.8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8790-2022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44614</v>
      </c>
      <c r="E40" s="1" t="n">
        <v>46322</v>
      </c>
      <c r="F40" t="inlineStr">
        <is>
          <t>VÄSTRA GÖTALANDS LÄN</t>
        </is>
      </c>
      <c r="G40" t="inlineStr">
        <is>
          <t>LIDKÖPING</t>
        </is>
      </c>
      <c r="H40" t="inlineStr">
        <is>
          <t>Kyrkan</t>
        </is>
      </c>
      <c r="I40" t="n">
        <v>2.1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28331-2022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44747</v>
      </c>
      <c r="E41" s="1" t="n">
        <v>46322</v>
      </c>
      <c r="F41" t="inlineStr">
        <is>
          <t>VÄSTRA GÖTALANDS LÄN</t>
        </is>
      </c>
      <c r="G41" t="inlineStr">
        <is>
          <t>LIDKÖPING</t>
        </is>
      </c>
      <c r="I41" t="n">
        <v>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62541-2021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44503</v>
      </c>
      <c r="E42" s="1" t="n">
        <v>46322</v>
      </c>
      <c r="F42" t="inlineStr">
        <is>
          <t>VÄSTRA GÖTALANDS LÄN</t>
        </is>
      </c>
      <c r="G42" t="inlineStr">
        <is>
          <t>LIDKÖPING</t>
        </is>
      </c>
      <c r="I42" t="n">
        <v>2.3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28850-2024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45478</v>
      </c>
      <c r="E43" s="1" t="n">
        <v>46322</v>
      </c>
      <c r="F43" t="inlineStr">
        <is>
          <t>VÄSTRA GÖTALANDS LÄN</t>
        </is>
      </c>
      <c r="G43" t="inlineStr">
        <is>
          <t>LIDKÖPING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48411-2022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44858</v>
      </c>
      <c r="E44" s="1" t="n">
        <v>46322</v>
      </c>
      <c r="F44" t="inlineStr">
        <is>
          <t>VÄSTRA GÖTALANDS LÄN</t>
        </is>
      </c>
      <c r="G44" t="inlineStr">
        <is>
          <t>LIDKÖPING</t>
        </is>
      </c>
      <c r="I44" t="n">
        <v>2.2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44849-2024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45574</v>
      </c>
      <c r="E45" s="1" t="n">
        <v>46322</v>
      </c>
      <c r="F45" t="inlineStr">
        <is>
          <t>VÄSTRA GÖTALANDS LÄN</t>
        </is>
      </c>
      <c r="G45" t="inlineStr">
        <is>
          <t>LIDKÖPING</t>
        </is>
      </c>
      <c r="I45" t="n">
        <v>3.8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59644-2023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45254</v>
      </c>
      <c r="E46" s="1" t="n">
        <v>46322</v>
      </c>
      <c r="F46" t="inlineStr">
        <is>
          <t>VÄSTRA GÖTALANDS LÄN</t>
        </is>
      </c>
      <c r="G46" t="inlineStr">
        <is>
          <t>LIDKÖPING</t>
        </is>
      </c>
      <c r="I46" t="n">
        <v>0.6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56365-2024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45625</v>
      </c>
      <c r="E47" s="1" t="n">
        <v>46322</v>
      </c>
      <c r="F47" t="inlineStr">
        <is>
          <t>VÄSTRA GÖTALANDS LÄN</t>
        </is>
      </c>
      <c r="G47" t="inlineStr">
        <is>
          <t>LIDKÖPING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6940-2024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45343</v>
      </c>
      <c r="E48" s="1" t="n">
        <v>46322</v>
      </c>
      <c r="F48" t="inlineStr">
        <is>
          <t>VÄSTRA GÖTALANDS LÄN</t>
        </is>
      </c>
      <c r="G48" t="inlineStr">
        <is>
          <t>LIDKÖPING</t>
        </is>
      </c>
      <c r="I48" t="n">
        <v>0.6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40291-2024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45554</v>
      </c>
      <c r="E49" s="1" t="n">
        <v>46322</v>
      </c>
      <c r="F49" t="inlineStr">
        <is>
          <t>VÄSTRA GÖTALANDS LÄN</t>
        </is>
      </c>
      <c r="G49" t="inlineStr">
        <is>
          <t>LIDKÖPING</t>
        </is>
      </c>
      <c r="I49" t="n">
        <v>1.3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8124-2023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44974</v>
      </c>
      <c r="E50" s="1" t="n">
        <v>46322</v>
      </c>
      <c r="F50" t="inlineStr">
        <is>
          <t>VÄSTRA GÖTALANDS LÄN</t>
        </is>
      </c>
      <c r="G50" t="inlineStr">
        <is>
          <t>LIDKÖPING</t>
        </is>
      </c>
      <c r="I50" t="n">
        <v>1.5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60465-2024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45643</v>
      </c>
      <c r="E51" s="1" t="n">
        <v>46322</v>
      </c>
      <c r="F51" t="inlineStr">
        <is>
          <t>VÄSTRA GÖTALANDS LÄN</t>
        </is>
      </c>
      <c r="G51" t="inlineStr">
        <is>
          <t>LIDKÖPING</t>
        </is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33209-2023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45127</v>
      </c>
      <c r="E52" s="1" t="n">
        <v>46322</v>
      </c>
      <c r="F52" t="inlineStr">
        <is>
          <t>VÄSTRA GÖTALANDS LÄN</t>
        </is>
      </c>
      <c r="G52" t="inlineStr">
        <is>
          <t>LIDKÖPING</t>
        </is>
      </c>
      <c r="I52" t="n">
        <v>0.9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53764-2024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45615</v>
      </c>
      <c r="E53" s="1" t="n">
        <v>46322</v>
      </c>
      <c r="F53" t="inlineStr">
        <is>
          <t>VÄSTRA GÖTALANDS LÄN</t>
        </is>
      </c>
      <c r="G53" t="inlineStr">
        <is>
          <t>LIDKÖPING</t>
        </is>
      </c>
      <c r="I53" t="n">
        <v>1.1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60642-2023</t>
        </is>
      </c>
      <c r="B54" t="inlineStr">
        <is>
          <t>avverkningsanmälan</t>
        </is>
      </c>
      <c r="C54" t="inlineStr">
        <is>
          <t>Avverkning för annat ändamål</t>
        </is>
      </c>
      <c r="D54" s="1" t="n">
        <v>45260</v>
      </c>
      <c r="E54" s="1" t="n">
        <v>46322</v>
      </c>
      <c r="F54" t="inlineStr">
        <is>
          <t>VÄSTRA GÖTALANDS LÄN</t>
        </is>
      </c>
      <c r="G54" t="inlineStr">
        <is>
          <t>LIDKÖPING</t>
        </is>
      </c>
      <c r="I54" t="n">
        <v>1.3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48301-2024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45590</v>
      </c>
      <c r="E55" s="1" t="n">
        <v>46322</v>
      </c>
      <c r="F55" t="inlineStr">
        <is>
          <t>VÄSTRA GÖTALANDS LÄN</t>
        </is>
      </c>
      <c r="G55" t="inlineStr">
        <is>
          <t>LIDKÖPING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44308-2023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45188</v>
      </c>
      <c r="E56" s="1" t="n">
        <v>46322</v>
      </c>
      <c r="F56" t="inlineStr">
        <is>
          <t>VÄSTRA GÖTALANDS LÄN</t>
        </is>
      </c>
      <c r="G56" t="inlineStr">
        <is>
          <t>LIDKÖPING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30399-2023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45111</v>
      </c>
      <c r="E57" s="1" t="n">
        <v>46322</v>
      </c>
      <c r="F57" t="inlineStr">
        <is>
          <t>VÄSTRA GÖTALANDS LÄN</t>
        </is>
      </c>
      <c r="G57" t="inlineStr">
        <is>
          <t>LIDKÖPING</t>
        </is>
      </c>
      <c r="I57" t="n">
        <v>1.4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12819-2022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44642</v>
      </c>
      <c r="E58" s="1" t="n">
        <v>46322</v>
      </c>
      <c r="F58" t="inlineStr">
        <is>
          <t>VÄSTRA GÖTALANDS LÄN</t>
        </is>
      </c>
      <c r="G58" t="inlineStr">
        <is>
          <t>LIDKÖPING</t>
        </is>
      </c>
      <c r="I58" t="n">
        <v>1.5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7247-2025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45702</v>
      </c>
      <c r="E59" s="1" t="n">
        <v>46322</v>
      </c>
      <c r="F59" t="inlineStr">
        <is>
          <t>VÄSTRA GÖTALANDS LÄN</t>
        </is>
      </c>
      <c r="G59" t="inlineStr">
        <is>
          <t>LIDKÖPING</t>
        </is>
      </c>
      <c r="I59" t="n">
        <v>1.3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13530-2023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45006</v>
      </c>
      <c r="E60" s="1" t="n">
        <v>46322</v>
      </c>
      <c r="F60" t="inlineStr">
        <is>
          <t>VÄSTRA GÖTALANDS LÄN</t>
        </is>
      </c>
      <c r="G60" t="inlineStr">
        <is>
          <t>LIDKÖPING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35087-2024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45527</v>
      </c>
      <c r="E61" s="1" t="n">
        <v>46322</v>
      </c>
      <c r="F61" t="inlineStr">
        <is>
          <t>VÄSTRA GÖTALANDS LÄN</t>
        </is>
      </c>
      <c r="G61" t="inlineStr">
        <is>
          <t>LIDKÖPING</t>
        </is>
      </c>
      <c r="I61" t="n">
        <v>1.8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53769-2024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45615</v>
      </c>
      <c r="E62" s="1" t="n">
        <v>46322</v>
      </c>
      <c r="F62" t="inlineStr">
        <is>
          <t>VÄSTRA GÖTALANDS LÄN</t>
        </is>
      </c>
      <c r="G62" t="inlineStr">
        <is>
          <t>LIDKÖPING</t>
        </is>
      </c>
      <c r="I62" t="n">
        <v>1.2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6102-2023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44964</v>
      </c>
      <c r="E63" s="1" t="n">
        <v>46322</v>
      </c>
      <c r="F63" t="inlineStr">
        <is>
          <t>VÄSTRA GÖTALANDS LÄN</t>
        </is>
      </c>
      <c r="G63" t="inlineStr">
        <is>
          <t>LIDKÖPING</t>
        </is>
      </c>
      <c r="I63" t="n">
        <v>0.8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18768-2024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45426</v>
      </c>
      <c r="E64" s="1" t="n">
        <v>46322</v>
      </c>
      <c r="F64" t="inlineStr">
        <is>
          <t>VÄSTRA GÖTALANDS LÄN</t>
        </is>
      </c>
      <c r="G64" t="inlineStr">
        <is>
          <t>LIDKÖPING</t>
        </is>
      </c>
      <c r="I64" t="n">
        <v>0.8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49906-2025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45940</v>
      </c>
      <c r="E65" s="1" t="n">
        <v>46322</v>
      </c>
      <c r="F65" t="inlineStr">
        <is>
          <t>VÄSTRA GÖTALANDS LÄN</t>
        </is>
      </c>
      <c r="G65" t="inlineStr">
        <is>
          <t>LIDKÖPING</t>
        </is>
      </c>
      <c r="I65" t="n">
        <v>3.2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49909-2025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45940</v>
      </c>
      <c r="E66" s="1" t="n">
        <v>46322</v>
      </c>
      <c r="F66" t="inlineStr">
        <is>
          <t>VÄSTRA GÖTALANDS LÄN</t>
        </is>
      </c>
      <c r="G66" t="inlineStr">
        <is>
          <t>LIDKÖPING</t>
        </is>
      </c>
      <c r="I66" t="n">
        <v>2.8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56740-2023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45244</v>
      </c>
      <c r="E67" s="1" t="n">
        <v>46322</v>
      </c>
      <c r="F67" t="inlineStr">
        <is>
          <t>VÄSTRA GÖTALANDS LÄN</t>
        </is>
      </c>
      <c r="G67" t="inlineStr">
        <is>
          <t>LIDKÖPING</t>
        </is>
      </c>
      <c r="I67" t="n">
        <v>4.5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43460-2024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45568</v>
      </c>
      <c r="E68" s="1" t="n">
        <v>46322</v>
      </c>
      <c r="F68" t="inlineStr">
        <is>
          <t>VÄSTRA GÖTALANDS LÄN</t>
        </is>
      </c>
      <c r="G68" t="inlineStr">
        <is>
          <t>LIDKÖPING</t>
        </is>
      </c>
      <c r="I68" t="n">
        <v>0.8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59010-2024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45635</v>
      </c>
      <c r="E69" s="1" t="n">
        <v>46322</v>
      </c>
      <c r="F69" t="inlineStr">
        <is>
          <t>VÄSTRA GÖTALANDS LÄN</t>
        </is>
      </c>
      <c r="G69" t="inlineStr">
        <is>
          <t>LIDKÖPING</t>
        </is>
      </c>
      <c r="I69" t="n">
        <v>3.5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27552-2026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46190</v>
      </c>
      <c r="E70" s="1" t="n">
        <v>46322</v>
      </c>
      <c r="F70" t="inlineStr">
        <is>
          <t>VÄSTRA GÖTALANDS LÄN</t>
        </is>
      </c>
      <c r="G70" t="inlineStr">
        <is>
          <t>LIDKÖPING</t>
        </is>
      </c>
      <c r="I70" t="n">
        <v>5.3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52719-2025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45957</v>
      </c>
      <c r="E71" s="1" t="n">
        <v>46322</v>
      </c>
      <c r="F71" t="inlineStr">
        <is>
          <t>VÄSTRA GÖTALANDS LÄN</t>
        </is>
      </c>
      <c r="G71" t="inlineStr">
        <is>
          <t>LIDKÖPING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52640-2025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45954</v>
      </c>
      <c r="E72" s="1" t="n">
        <v>46322</v>
      </c>
      <c r="F72" t="inlineStr">
        <is>
          <t>VÄSTRA GÖTALANDS LÄN</t>
        </is>
      </c>
      <c r="G72" t="inlineStr">
        <is>
          <t>LIDKÖPING</t>
        </is>
      </c>
      <c r="I72" t="n">
        <v>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54191-2025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45964</v>
      </c>
      <c r="E73" s="1" t="n">
        <v>46322</v>
      </c>
      <c r="F73" t="inlineStr">
        <is>
          <t>VÄSTRA GÖTALANDS LÄN</t>
        </is>
      </c>
      <c r="G73" t="inlineStr">
        <is>
          <t>LIDKÖPING</t>
        </is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11795-2024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45375</v>
      </c>
      <c r="E74" s="1" t="n">
        <v>46322</v>
      </c>
      <c r="F74" t="inlineStr">
        <is>
          <t>VÄSTRA GÖTALANDS LÄN</t>
        </is>
      </c>
      <c r="G74" t="inlineStr">
        <is>
          <t>LIDKÖPING</t>
        </is>
      </c>
      <c r="I74" t="n">
        <v>3.8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61817-2024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45649</v>
      </c>
      <c r="E75" s="1" t="n">
        <v>46322</v>
      </c>
      <c r="F75" t="inlineStr">
        <is>
          <t>VÄSTRA GÖTALANDS LÄN</t>
        </is>
      </c>
      <c r="G75" t="inlineStr">
        <is>
          <t>LIDKÖPING</t>
        </is>
      </c>
      <c r="I75" t="n">
        <v>4.6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9973-2024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45363</v>
      </c>
      <c r="E76" s="1" t="n">
        <v>46322</v>
      </c>
      <c r="F76" t="inlineStr">
        <is>
          <t>VÄSTRA GÖTALANDS LÄN</t>
        </is>
      </c>
      <c r="G76" t="inlineStr">
        <is>
          <t>LIDKÖPING</t>
        </is>
      </c>
      <c r="I76" t="n">
        <v>4.7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56373-2024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45625</v>
      </c>
      <c r="E77" s="1" t="n">
        <v>46322</v>
      </c>
      <c r="F77" t="inlineStr">
        <is>
          <t>VÄSTRA GÖTALANDS LÄN</t>
        </is>
      </c>
      <c r="G77" t="inlineStr">
        <is>
          <t>LIDKÖPING</t>
        </is>
      </c>
      <c r="I77" t="n">
        <v>1.3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28068-2026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46195</v>
      </c>
      <c r="E78" s="1" t="n">
        <v>46322</v>
      </c>
      <c r="F78" t="inlineStr">
        <is>
          <t>VÄSTRA GÖTALANDS LÄN</t>
        </is>
      </c>
      <c r="G78" t="inlineStr">
        <is>
          <t>LIDKÖPING</t>
        </is>
      </c>
      <c r="I78" t="n">
        <v>0.7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28056-2026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46195</v>
      </c>
      <c r="E79" s="1" t="n">
        <v>46322</v>
      </c>
      <c r="F79" t="inlineStr">
        <is>
          <t>VÄSTRA GÖTALANDS LÄN</t>
        </is>
      </c>
      <c r="G79" t="inlineStr">
        <is>
          <t>LIDKÖPING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55974-2024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45623</v>
      </c>
      <c r="E80" s="1" t="n">
        <v>46322</v>
      </c>
      <c r="F80" t="inlineStr">
        <is>
          <t>VÄSTRA GÖTALANDS LÄN</t>
        </is>
      </c>
      <c r="G80" t="inlineStr">
        <is>
          <t>LIDKÖPING</t>
        </is>
      </c>
      <c r="I80" t="n">
        <v>1.8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53805-2024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45615</v>
      </c>
      <c r="E81" s="1" t="n">
        <v>46322</v>
      </c>
      <c r="F81" t="inlineStr">
        <is>
          <t>VÄSTRA GÖTALANDS LÄN</t>
        </is>
      </c>
      <c r="G81" t="inlineStr">
        <is>
          <t>LIDKÖPING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11393-2025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45726</v>
      </c>
      <c r="E82" s="1" t="n">
        <v>46322</v>
      </c>
      <c r="F82" t="inlineStr">
        <is>
          <t>VÄSTRA GÖTALANDS LÄN</t>
        </is>
      </c>
      <c r="G82" t="inlineStr">
        <is>
          <t>LIDKÖPING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48346-2024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45590</v>
      </c>
      <c r="E83" s="1" t="n">
        <v>46322</v>
      </c>
      <c r="F83" t="inlineStr">
        <is>
          <t>VÄSTRA GÖTALANDS LÄN</t>
        </is>
      </c>
      <c r="G83" t="inlineStr">
        <is>
          <t>LIDKÖPING</t>
        </is>
      </c>
      <c r="I83" t="n">
        <v>0.8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28309-2026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46196</v>
      </c>
      <c r="E84" s="1" t="n">
        <v>46322</v>
      </c>
      <c r="F84" t="inlineStr">
        <is>
          <t>VÄSTRA GÖTALANDS LÄN</t>
        </is>
      </c>
      <c r="G84" t="inlineStr">
        <is>
          <t>LIDKÖPING</t>
        </is>
      </c>
      <c r="I84" t="n">
        <v>3.1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39800-2022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44819</v>
      </c>
      <c r="E85" s="1" t="n">
        <v>46322</v>
      </c>
      <c r="F85" t="inlineStr">
        <is>
          <t>VÄSTRA GÖTALANDS LÄN</t>
        </is>
      </c>
      <c r="G85" t="inlineStr">
        <is>
          <t>LIDKÖPING</t>
        </is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49755-2022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44859</v>
      </c>
      <c r="E86" s="1" t="n">
        <v>46322</v>
      </c>
      <c r="F86" t="inlineStr">
        <is>
          <t>VÄSTRA GÖTALANDS LÄN</t>
        </is>
      </c>
      <c r="G86" t="inlineStr">
        <is>
          <t>LIDKÖPING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24356-2025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45797</v>
      </c>
      <c r="E87" s="1" t="n">
        <v>46322</v>
      </c>
      <c r="F87" t="inlineStr">
        <is>
          <t>VÄSTRA GÖTALANDS LÄN</t>
        </is>
      </c>
      <c r="G87" t="inlineStr">
        <is>
          <t>LIDKÖPING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53275-2023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45229</v>
      </c>
      <c r="E88" s="1" t="n">
        <v>46322</v>
      </c>
      <c r="F88" t="inlineStr">
        <is>
          <t>VÄSTRA GÖTALANDS LÄN</t>
        </is>
      </c>
      <c r="G88" t="inlineStr">
        <is>
          <t>LIDKÖPING</t>
        </is>
      </c>
      <c r="I88" t="n">
        <v>8.5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44104-2024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45572</v>
      </c>
      <c r="E89" s="1" t="n">
        <v>46322</v>
      </c>
      <c r="F89" t="inlineStr">
        <is>
          <t>VÄSTRA GÖTALANDS LÄN</t>
        </is>
      </c>
      <c r="G89" t="inlineStr">
        <is>
          <t>LIDKÖPING</t>
        </is>
      </c>
      <c r="I89" t="n">
        <v>2.4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63778-2023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45278</v>
      </c>
      <c r="E90" s="1" t="n">
        <v>46322</v>
      </c>
      <c r="F90" t="inlineStr">
        <is>
          <t>VÄSTRA GÖTALANDS LÄN</t>
        </is>
      </c>
      <c r="G90" t="inlineStr">
        <is>
          <t>LIDKÖPING</t>
        </is>
      </c>
      <c r="I90" t="n">
        <v>3.2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11563-2025</t>
        </is>
      </c>
      <c r="B91" t="inlineStr">
        <is>
          <t>avverkningsanmälan</t>
        </is>
      </c>
      <c r="C91" t="inlineStr">
        <is>
          <t>Avverkning för annat ändamål</t>
        </is>
      </c>
      <c r="D91" s="1" t="n">
        <v>45727</v>
      </c>
      <c r="E91" s="1" t="n">
        <v>46322</v>
      </c>
      <c r="F91" t="inlineStr">
        <is>
          <t>VÄSTRA GÖTALANDS LÄN</t>
        </is>
      </c>
      <c r="G91" t="inlineStr">
        <is>
          <t>LIDKÖPING</t>
        </is>
      </c>
      <c r="H91" t="inlineStr">
        <is>
          <t>Kommuner</t>
        </is>
      </c>
      <c r="I91" t="n">
        <v>0.7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53279-2023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45229</v>
      </c>
      <c r="E92" s="1" t="n">
        <v>46322</v>
      </c>
      <c r="F92" t="inlineStr">
        <is>
          <t>VÄSTRA GÖTALANDS LÄN</t>
        </is>
      </c>
      <c r="G92" t="inlineStr">
        <is>
          <t>LIDKÖPING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19840-2025</t>
        </is>
      </c>
      <c r="B93" t="inlineStr">
        <is>
          <t>avverkningsanmälan</t>
        </is>
      </c>
      <c r="C93" t="inlineStr">
        <is>
          <t>Avverkning för annat ändamål</t>
        </is>
      </c>
      <c r="D93" s="1" t="n">
        <v>45771</v>
      </c>
      <c r="E93" s="1" t="n">
        <v>46322</v>
      </c>
      <c r="F93" t="inlineStr">
        <is>
          <t>VÄSTRA GÖTALANDS LÄN</t>
        </is>
      </c>
      <c r="G93" t="inlineStr">
        <is>
          <t>LIDKÖPING</t>
        </is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136-2023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44928</v>
      </c>
      <c r="E94" s="1" t="n">
        <v>46322</v>
      </c>
      <c r="F94" t="inlineStr">
        <is>
          <t>VÄSTRA GÖTALANDS LÄN</t>
        </is>
      </c>
      <c r="G94" t="inlineStr">
        <is>
          <t>LIDKÖPING</t>
        </is>
      </c>
      <c r="I94" t="n">
        <v>4.5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58620-2022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44902</v>
      </c>
      <c r="E95" s="1" t="n">
        <v>46322</v>
      </c>
      <c r="F95" t="inlineStr">
        <is>
          <t>VÄSTRA GÖTALANDS LÄN</t>
        </is>
      </c>
      <c r="G95" t="inlineStr">
        <is>
          <t>LIDKÖPING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1455-2025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45670</v>
      </c>
      <c r="E96" s="1" t="n">
        <v>46322</v>
      </c>
      <c r="F96" t="inlineStr">
        <is>
          <t>VÄSTRA GÖTALANDS LÄN</t>
        </is>
      </c>
      <c r="G96" t="inlineStr">
        <is>
          <t>LIDKÖPING</t>
        </is>
      </c>
      <c r="I96" t="n">
        <v>1.4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37169-2022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44806</v>
      </c>
      <c r="E97" s="1" t="n">
        <v>46322</v>
      </c>
      <c r="F97" t="inlineStr">
        <is>
          <t>VÄSTRA GÖTALANDS LÄN</t>
        </is>
      </c>
      <c r="G97" t="inlineStr">
        <is>
          <t>LIDKÖPING</t>
        </is>
      </c>
      <c r="I97" t="n">
        <v>17.4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59155-2025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45988</v>
      </c>
      <c r="E98" s="1" t="n">
        <v>46322</v>
      </c>
      <c r="F98" t="inlineStr">
        <is>
          <t>VÄSTRA GÖTALANDS LÄN</t>
        </is>
      </c>
      <c r="G98" t="inlineStr">
        <is>
          <t>LIDKÖPING</t>
        </is>
      </c>
      <c r="I98" t="n">
        <v>2.2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58420-2023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45250</v>
      </c>
      <c r="E99" s="1" t="n">
        <v>46322</v>
      </c>
      <c r="F99" t="inlineStr">
        <is>
          <t>VÄSTRA GÖTALANDS LÄN</t>
        </is>
      </c>
      <c r="G99" t="inlineStr">
        <is>
          <t>LIDKÖPING</t>
        </is>
      </c>
      <c r="I99" t="n">
        <v>2.5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7223-2025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45702</v>
      </c>
      <c r="E100" s="1" t="n">
        <v>46322</v>
      </c>
      <c r="F100" t="inlineStr">
        <is>
          <t>VÄSTRA GÖTALANDS LÄN</t>
        </is>
      </c>
      <c r="G100" t="inlineStr">
        <is>
          <t>LIDKÖPING</t>
        </is>
      </c>
      <c r="I100" t="n">
        <v>3.5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59068-2023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45252</v>
      </c>
      <c r="E101" s="1" t="n">
        <v>46322</v>
      </c>
      <c r="F101" t="inlineStr">
        <is>
          <t>VÄSTRA GÖTALANDS LÄN</t>
        </is>
      </c>
      <c r="G101" t="inlineStr">
        <is>
          <t>LIDKÖPING</t>
        </is>
      </c>
      <c r="I101" t="n">
        <v>6.4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36945-2024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45538</v>
      </c>
      <c r="E102" s="1" t="n">
        <v>46322</v>
      </c>
      <c r="F102" t="inlineStr">
        <is>
          <t>VÄSTRA GÖTALANDS LÄN</t>
        </is>
      </c>
      <c r="G102" t="inlineStr">
        <is>
          <t>LIDKÖPING</t>
        </is>
      </c>
      <c r="H102" t="inlineStr">
        <is>
          <t>Kommuner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7248-2025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45702</v>
      </c>
      <c r="E103" s="1" t="n">
        <v>46322</v>
      </c>
      <c r="F103" t="inlineStr">
        <is>
          <t>VÄSTRA GÖTALANDS LÄN</t>
        </is>
      </c>
      <c r="G103" t="inlineStr">
        <is>
          <t>LIDKÖPING</t>
        </is>
      </c>
      <c r="I103" t="n">
        <v>1.4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17892-2025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45758</v>
      </c>
      <c r="E104" s="1" t="n">
        <v>46322</v>
      </c>
      <c r="F104" t="inlineStr">
        <is>
          <t>VÄSTRA GÖTALANDS LÄN</t>
        </is>
      </c>
      <c r="G104" t="inlineStr">
        <is>
          <t>LIDKÖPING</t>
        </is>
      </c>
      <c r="I104" t="n">
        <v>1.3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50577-2024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45601</v>
      </c>
      <c r="E105" s="1" t="n">
        <v>46322</v>
      </c>
      <c r="F105" t="inlineStr">
        <is>
          <t>VÄSTRA GÖTALANDS LÄN</t>
        </is>
      </c>
      <c r="G105" t="inlineStr">
        <is>
          <t>LIDKÖPING</t>
        </is>
      </c>
      <c r="I105" t="n">
        <v>1.1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29495-2025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45824</v>
      </c>
      <c r="E106" s="1" t="n">
        <v>46322</v>
      </c>
      <c r="F106" t="inlineStr">
        <is>
          <t>VÄSTRA GÖTALANDS LÄN</t>
        </is>
      </c>
      <c r="G106" t="inlineStr">
        <is>
          <t>LIDKÖPING</t>
        </is>
      </c>
      <c r="I106" t="n">
        <v>5.2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25762-2023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45090</v>
      </c>
      <c r="E107" s="1" t="n">
        <v>46322</v>
      </c>
      <c r="F107" t="inlineStr">
        <is>
          <t>VÄSTRA GÖTALANDS LÄN</t>
        </is>
      </c>
      <c r="G107" t="inlineStr">
        <is>
          <t>LIDKÖPING</t>
        </is>
      </c>
      <c r="I107" t="n">
        <v>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32952-2023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45125</v>
      </c>
      <c r="E108" s="1" t="n">
        <v>46322</v>
      </c>
      <c r="F108" t="inlineStr">
        <is>
          <t>VÄSTRA GÖTALANDS LÄN</t>
        </is>
      </c>
      <c r="G108" t="inlineStr">
        <is>
          <t>LIDKÖPING</t>
        </is>
      </c>
      <c r="I108" t="n">
        <v>5.1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31844-2025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45834</v>
      </c>
      <c r="E109" s="1" t="n">
        <v>46322</v>
      </c>
      <c r="F109" t="inlineStr">
        <is>
          <t>VÄSTRA GÖTALANDS LÄN</t>
        </is>
      </c>
      <c r="G109" t="inlineStr">
        <is>
          <t>LIDKÖPING</t>
        </is>
      </c>
      <c r="I109" t="n">
        <v>6.2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31825-2025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45834</v>
      </c>
      <c r="E110" s="1" t="n">
        <v>46322</v>
      </c>
      <c r="F110" t="inlineStr">
        <is>
          <t>VÄSTRA GÖTALANDS LÄN</t>
        </is>
      </c>
      <c r="G110" t="inlineStr">
        <is>
          <t>LIDKÖPING</t>
        </is>
      </c>
      <c r="I110" t="n">
        <v>1.2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32355-2025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45837</v>
      </c>
      <c r="E111" s="1" t="n">
        <v>46322</v>
      </c>
      <c r="F111" t="inlineStr">
        <is>
          <t>VÄSTRA GÖTALANDS LÄN</t>
        </is>
      </c>
      <c r="G111" t="inlineStr">
        <is>
          <t>LIDKÖPING</t>
        </is>
      </c>
      <c r="I111" t="n">
        <v>2.3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59069-2023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45252</v>
      </c>
      <c r="E112" s="1" t="n">
        <v>46322</v>
      </c>
      <c r="F112" t="inlineStr">
        <is>
          <t>VÄSTRA GÖTALANDS LÄN</t>
        </is>
      </c>
      <c r="G112" t="inlineStr">
        <is>
          <t>LIDKÖPING</t>
        </is>
      </c>
      <c r="I112" t="n">
        <v>4.9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26356-2025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45805</v>
      </c>
      <c r="E113" s="1" t="n">
        <v>46322</v>
      </c>
      <c r="F113" t="inlineStr">
        <is>
          <t>VÄSTRA GÖTALANDS LÄN</t>
        </is>
      </c>
      <c r="G113" t="inlineStr">
        <is>
          <t>LIDKÖPING</t>
        </is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43445-2023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45184</v>
      </c>
      <c r="E114" s="1" t="n">
        <v>46322</v>
      </c>
      <c r="F114" t="inlineStr">
        <is>
          <t>VÄSTRA GÖTALANDS LÄN</t>
        </is>
      </c>
      <c r="G114" t="inlineStr">
        <is>
          <t>LIDKÖPING</t>
        </is>
      </c>
      <c r="I114" t="n">
        <v>2.1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37098-2023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45155</v>
      </c>
      <c r="E115" s="1" t="n">
        <v>46322</v>
      </c>
      <c r="F115" t="inlineStr">
        <is>
          <t>VÄSTRA GÖTALANDS LÄN</t>
        </is>
      </c>
      <c r="G115" t="inlineStr">
        <is>
          <t>LIDKÖPING</t>
        </is>
      </c>
      <c r="I115" t="n">
        <v>4.8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36208-2025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45867</v>
      </c>
      <c r="E116" s="1" t="n">
        <v>46322</v>
      </c>
      <c r="F116" t="inlineStr">
        <is>
          <t>VÄSTRA GÖTALANDS LÄN</t>
        </is>
      </c>
      <c r="G116" t="inlineStr">
        <is>
          <t>LIDKÖPING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61312-2023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45264</v>
      </c>
      <c r="E117" s="1" t="n">
        <v>46322</v>
      </c>
      <c r="F117" t="inlineStr">
        <is>
          <t>VÄSTRA GÖTALANDS LÄN</t>
        </is>
      </c>
      <c r="G117" t="inlineStr">
        <is>
          <t>LIDKÖPING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37195-2025</t>
        </is>
      </c>
      <c r="B118" t="inlineStr">
        <is>
          <t>avverkningsanmälan</t>
        </is>
      </c>
      <c r="C118" t="inlineStr">
        <is>
          <t>Avverkning för att bevara och utveckla /försöksver</t>
        </is>
      </c>
      <c r="D118" s="1" t="n">
        <v>45875</v>
      </c>
      <c r="E118" s="1" t="n">
        <v>46322</v>
      </c>
      <c r="F118" t="inlineStr">
        <is>
          <t>VÄSTRA GÖTALANDS LÄN</t>
        </is>
      </c>
      <c r="G118" t="inlineStr">
        <is>
          <t>LIDKÖPING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5514-2026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46050</v>
      </c>
      <c r="E119" s="1" t="n">
        <v>46322</v>
      </c>
      <c r="F119" t="inlineStr">
        <is>
          <t>VÄSTRA GÖTALANDS LÄN</t>
        </is>
      </c>
      <c r="G119" t="inlineStr">
        <is>
          <t>LIDKÖPING</t>
        </is>
      </c>
      <c r="H119" t="inlineStr">
        <is>
          <t>Kyrkan</t>
        </is>
      </c>
      <c r="I119" t="n">
        <v>2.5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30904-2022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44767</v>
      </c>
      <c r="E120" s="1" t="n">
        <v>46322</v>
      </c>
      <c r="F120" t="inlineStr">
        <is>
          <t>VÄSTRA GÖTALANDS LÄN</t>
        </is>
      </c>
      <c r="G120" t="inlineStr">
        <is>
          <t>LIDKÖPING</t>
        </is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12175-2023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44998</v>
      </c>
      <c r="E121" s="1" t="n">
        <v>46322</v>
      </c>
      <c r="F121" t="inlineStr">
        <is>
          <t>VÄSTRA GÖTALANDS LÄN</t>
        </is>
      </c>
      <c r="G121" t="inlineStr">
        <is>
          <t>LIDKÖPING</t>
        </is>
      </c>
      <c r="I121" t="n">
        <v>4.3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9738-2026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46072</v>
      </c>
      <c r="E122" s="1" t="n">
        <v>46322</v>
      </c>
      <c r="F122" t="inlineStr">
        <is>
          <t>VÄSTRA GÖTALANDS LÄN</t>
        </is>
      </c>
      <c r="G122" t="inlineStr">
        <is>
          <t>LIDKÖPING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8953-2023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44979</v>
      </c>
      <c r="E123" s="1" t="n">
        <v>46322</v>
      </c>
      <c r="F123" t="inlineStr">
        <is>
          <t>VÄSTRA GÖTALANDS LÄN</t>
        </is>
      </c>
      <c r="G123" t="inlineStr">
        <is>
          <t>LIDKÖPING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31826-2026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46230</v>
      </c>
      <c r="E124" s="1" t="n">
        <v>46322</v>
      </c>
      <c r="F124" t="inlineStr">
        <is>
          <t>VÄSTRA GÖTALANDS LÄN</t>
        </is>
      </c>
      <c r="G124" t="inlineStr">
        <is>
          <t>LIDKÖPING</t>
        </is>
      </c>
      <c r="I124" t="n">
        <v>0.8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31897-2026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46231</v>
      </c>
      <c r="E125" s="1" t="n">
        <v>46322</v>
      </c>
      <c r="F125" t="inlineStr">
        <is>
          <t>VÄSTRA GÖTALANDS LÄN</t>
        </is>
      </c>
      <c r="G125" t="inlineStr">
        <is>
          <t>LIDKÖPING</t>
        </is>
      </c>
      <c r="I125" t="n">
        <v>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31899-2026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46231</v>
      </c>
      <c r="E126" s="1" t="n">
        <v>46322</v>
      </c>
      <c r="F126" t="inlineStr">
        <is>
          <t>VÄSTRA GÖTALANDS LÄN</t>
        </is>
      </c>
      <c r="G126" t="inlineStr">
        <is>
          <t>LIDKÖPING</t>
        </is>
      </c>
      <c r="I126" t="n">
        <v>0.9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31902-2026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46231</v>
      </c>
      <c r="E127" s="1" t="n">
        <v>46322</v>
      </c>
      <c r="F127" t="inlineStr">
        <is>
          <t>VÄSTRA GÖTALANDS LÄN</t>
        </is>
      </c>
      <c r="G127" t="inlineStr">
        <is>
          <t>LIDKÖPING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246-2025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45660</v>
      </c>
      <c r="E128" s="1" t="n">
        <v>46322</v>
      </c>
      <c r="F128" t="inlineStr">
        <is>
          <t>VÄSTRA GÖTALANDS LÄN</t>
        </is>
      </c>
      <c r="G128" t="inlineStr">
        <is>
          <t>LIDKÖPING</t>
        </is>
      </c>
      <c r="I128" t="n">
        <v>1.7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37994-2026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46280</v>
      </c>
      <c r="E129" s="1" t="n">
        <v>46322</v>
      </c>
      <c r="F129" t="inlineStr">
        <is>
          <t>VÄSTRA GÖTALANDS LÄN</t>
        </is>
      </c>
      <c r="G129" t="inlineStr">
        <is>
          <t>LIDKÖPING</t>
        </is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14536-2026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46100</v>
      </c>
      <c r="E130" s="1" t="n">
        <v>46322</v>
      </c>
      <c r="F130" t="inlineStr">
        <is>
          <t>VÄSTRA GÖTALANDS LÄN</t>
        </is>
      </c>
      <c r="G130" t="inlineStr">
        <is>
          <t>LIDKÖPING</t>
        </is>
      </c>
      <c r="I130" t="n">
        <v>2.6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37997-2026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46280</v>
      </c>
      <c r="E131" s="1" t="n">
        <v>46322</v>
      </c>
      <c r="F131" t="inlineStr">
        <is>
          <t>VÄSTRA GÖTALANDS LÄN</t>
        </is>
      </c>
      <c r="G131" t="inlineStr">
        <is>
          <t>LIDKÖPING</t>
        </is>
      </c>
      <c r="I131" t="n">
        <v>0.6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7760-2025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45706</v>
      </c>
      <c r="E132" s="1" t="n">
        <v>46322</v>
      </c>
      <c r="F132" t="inlineStr">
        <is>
          <t>VÄSTRA GÖTALANDS LÄN</t>
        </is>
      </c>
      <c r="G132" t="inlineStr">
        <is>
          <t>LIDKÖPING</t>
        </is>
      </c>
      <c r="I132" t="n">
        <v>8.300000000000001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2086-2025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45672</v>
      </c>
      <c r="E133" s="1" t="n">
        <v>46322</v>
      </c>
      <c r="F133" t="inlineStr">
        <is>
          <t>VÄSTRA GÖTALANDS LÄN</t>
        </is>
      </c>
      <c r="G133" t="inlineStr">
        <is>
          <t>LIDKÖPING</t>
        </is>
      </c>
      <c r="I133" t="n">
        <v>1.3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62527-2021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44503</v>
      </c>
      <c r="E134" s="1" t="n">
        <v>46322</v>
      </c>
      <c r="F134" t="inlineStr">
        <is>
          <t>VÄSTRA GÖTALANDS LÄN</t>
        </is>
      </c>
      <c r="G134" t="inlineStr">
        <is>
          <t>LIDKÖPING</t>
        </is>
      </c>
      <c r="I134" t="n">
        <v>22.6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38009-2026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46280</v>
      </c>
      <c r="E135" s="1" t="n">
        <v>46322</v>
      </c>
      <c r="F135" t="inlineStr">
        <is>
          <t>VÄSTRA GÖTALANDS LÄN</t>
        </is>
      </c>
      <c r="G135" t="inlineStr">
        <is>
          <t>LIDKÖPING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60290-2024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45642</v>
      </c>
      <c r="E136" s="1" t="n">
        <v>46322</v>
      </c>
      <c r="F136" t="inlineStr">
        <is>
          <t>VÄSTRA GÖTALANDS LÄN</t>
        </is>
      </c>
      <c r="G136" t="inlineStr">
        <is>
          <t>LIDKÖPING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35112-2024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45529</v>
      </c>
      <c r="E137" s="1" t="n">
        <v>46322</v>
      </c>
      <c r="F137" t="inlineStr">
        <is>
          <t>VÄSTRA GÖTALANDS LÄN</t>
        </is>
      </c>
      <c r="G137" t="inlineStr">
        <is>
          <t>LIDKÖPING</t>
        </is>
      </c>
      <c r="I137" t="n">
        <v>1.6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17533-2026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46120</v>
      </c>
      <c r="E138" s="1" t="n">
        <v>46322</v>
      </c>
      <c r="F138" t="inlineStr">
        <is>
          <t>VÄSTRA GÖTALANDS LÄN</t>
        </is>
      </c>
      <c r="G138" t="inlineStr">
        <is>
          <t>LIDKÖPING</t>
        </is>
      </c>
      <c r="I138" t="n">
        <v>3.8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17527-2026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46119</v>
      </c>
      <c r="E139" s="1" t="n">
        <v>46322</v>
      </c>
      <c r="F139" t="inlineStr">
        <is>
          <t>VÄSTRA GÖTALANDS LÄN</t>
        </is>
      </c>
      <c r="G139" t="inlineStr">
        <is>
          <t>LIDKÖPING</t>
        </is>
      </c>
      <c r="I139" t="n">
        <v>4.4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17495-2026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46120</v>
      </c>
      <c r="E140" s="1" t="n">
        <v>46322</v>
      </c>
      <c r="F140" t="inlineStr">
        <is>
          <t>VÄSTRA GÖTALANDS LÄN</t>
        </is>
      </c>
      <c r="G140" t="inlineStr">
        <is>
          <t>LIDKÖPING</t>
        </is>
      </c>
      <c r="I140" t="n">
        <v>2.6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17524-2026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46119</v>
      </c>
      <c r="E141" s="1" t="n">
        <v>46322</v>
      </c>
      <c r="F141" t="inlineStr">
        <is>
          <t>VÄSTRA GÖTALANDS LÄN</t>
        </is>
      </c>
      <c r="G141" t="inlineStr">
        <is>
          <t>LIDKÖPING</t>
        </is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17958-2026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46122</v>
      </c>
      <c r="E142" s="1" t="n">
        <v>46322</v>
      </c>
      <c r="F142" t="inlineStr">
        <is>
          <t>VÄSTRA GÖTALANDS LÄN</t>
        </is>
      </c>
      <c r="G142" t="inlineStr">
        <is>
          <t>LIDKÖPING</t>
        </is>
      </c>
      <c r="H142" t="inlineStr">
        <is>
          <t>Kommuner</t>
        </is>
      </c>
      <c r="I142" t="n">
        <v>0.9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19759-2024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45432</v>
      </c>
      <c r="E143" s="1" t="n">
        <v>46322</v>
      </c>
      <c r="F143" t="inlineStr">
        <is>
          <t>VÄSTRA GÖTALANDS LÄN</t>
        </is>
      </c>
      <c r="G143" t="inlineStr">
        <is>
          <t>LIDKÖPING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32504-2026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46239</v>
      </c>
      <c r="E144" s="1" t="n">
        <v>46322</v>
      </c>
      <c r="F144" t="inlineStr">
        <is>
          <t>VÄSTRA GÖTALANDS LÄN</t>
        </is>
      </c>
      <c r="G144" t="inlineStr">
        <is>
          <t>LIDKÖPING</t>
        </is>
      </c>
      <c r="H144" t="inlineStr">
        <is>
          <t>Kyrkan</t>
        </is>
      </c>
      <c r="I144" t="n">
        <v>1.3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56413-2024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45623</v>
      </c>
      <c r="E145" s="1" t="n">
        <v>46322</v>
      </c>
      <c r="F145" t="inlineStr">
        <is>
          <t>VÄSTRA GÖTALANDS LÄN</t>
        </is>
      </c>
      <c r="G145" t="inlineStr">
        <is>
          <t>LIDKÖPING</t>
        </is>
      </c>
      <c r="I145" t="n">
        <v>3.5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32477-2026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46239</v>
      </c>
      <c r="E146" s="1" t="n">
        <v>46322</v>
      </c>
      <c r="F146" t="inlineStr">
        <is>
          <t>VÄSTRA GÖTALANDS LÄN</t>
        </is>
      </c>
      <c r="G146" t="inlineStr">
        <is>
          <t>LIDKÖPING</t>
        </is>
      </c>
      <c r="H146" t="inlineStr">
        <is>
          <t>Kyrkan</t>
        </is>
      </c>
      <c r="I146" t="n">
        <v>2.4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1949-2025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45672</v>
      </c>
      <c r="E147" s="1" t="n">
        <v>46322</v>
      </c>
      <c r="F147" t="inlineStr">
        <is>
          <t>VÄSTRA GÖTALANDS LÄN</t>
        </is>
      </c>
      <c r="G147" t="inlineStr">
        <is>
          <t>LIDKÖPING</t>
        </is>
      </c>
      <c r="I147" t="n">
        <v>2.7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32497-2026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46239</v>
      </c>
      <c r="E148" s="1" t="n">
        <v>46322</v>
      </c>
      <c r="F148" t="inlineStr">
        <is>
          <t>VÄSTRA GÖTALANDS LÄN</t>
        </is>
      </c>
      <c r="G148" t="inlineStr">
        <is>
          <t>LIDKÖPING</t>
        </is>
      </c>
      <c r="H148" t="inlineStr">
        <is>
          <t>Kyrkan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696-2025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45665</v>
      </c>
      <c r="E149" s="1" t="n">
        <v>46322</v>
      </c>
      <c r="F149" t="inlineStr">
        <is>
          <t>VÄSTRA GÖTALANDS LÄN</t>
        </is>
      </c>
      <c r="G149" t="inlineStr">
        <is>
          <t>LIDKÖPING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34779-2023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45141</v>
      </c>
      <c r="E150" s="1" t="n">
        <v>46322</v>
      </c>
      <c r="F150" t="inlineStr">
        <is>
          <t>VÄSTRA GÖTALANDS LÄN</t>
        </is>
      </c>
      <c r="G150" t="inlineStr">
        <is>
          <t>LIDKÖPING</t>
        </is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18834-2026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46129</v>
      </c>
      <c r="E151" s="1" t="n">
        <v>46322</v>
      </c>
      <c r="F151" t="inlineStr">
        <is>
          <t>VÄSTRA GÖTALANDS LÄN</t>
        </is>
      </c>
      <c r="G151" t="inlineStr">
        <is>
          <t>LIDKÖPING</t>
        </is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18979-2026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46129</v>
      </c>
      <c r="E152" s="1" t="n">
        <v>46322</v>
      </c>
      <c r="F152" t="inlineStr">
        <is>
          <t>VÄSTRA GÖTALANDS LÄN</t>
        </is>
      </c>
      <c r="G152" t="inlineStr">
        <is>
          <t>LIDKÖPING</t>
        </is>
      </c>
      <c r="I152" t="n">
        <v>0.8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37946-2026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46280</v>
      </c>
      <c r="E153" s="1" t="n">
        <v>46322</v>
      </c>
      <c r="F153" t="inlineStr">
        <is>
          <t>VÄSTRA GÖTALANDS LÄN</t>
        </is>
      </c>
      <c r="G153" t="inlineStr">
        <is>
          <t>LIDKÖPING</t>
        </is>
      </c>
      <c r="I153" t="n">
        <v>1.3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36835-2024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45538</v>
      </c>
      <c r="E154" s="1" t="n">
        <v>46322</v>
      </c>
      <c r="F154" t="inlineStr">
        <is>
          <t>VÄSTRA GÖTALANDS LÄN</t>
        </is>
      </c>
      <c r="G154" t="inlineStr">
        <is>
          <t>LIDKÖPING</t>
        </is>
      </c>
      <c r="H154" t="inlineStr">
        <is>
          <t>Kommuner</t>
        </is>
      </c>
      <c r="I154" t="n">
        <v>2.4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58393-2022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44901</v>
      </c>
      <c r="E155" s="1" t="n">
        <v>46322</v>
      </c>
      <c r="F155" t="inlineStr">
        <is>
          <t>VÄSTRA GÖTALANDS LÄN</t>
        </is>
      </c>
      <c r="G155" t="inlineStr">
        <is>
          <t>LIDKÖPING</t>
        </is>
      </c>
      <c r="I155" t="n">
        <v>2.1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2872-2023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44945</v>
      </c>
      <c r="E156" s="1" t="n">
        <v>46322</v>
      </c>
      <c r="F156" t="inlineStr">
        <is>
          <t>VÄSTRA GÖTALANDS LÄN</t>
        </is>
      </c>
      <c r="G156" t="inlineStr">
        <is>
          <t>LIDKÖPING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49997-2025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45943</v>
      </c>
      <c r="E157" s="1" t="n">
        <v>46322</v>
      </c>
      <c r="F157" t="inlineStr">
        <is>
          <t>VÄSTRA GÖTALANDS LÄN</t>
        </is>
      </c>
      <c r="G157" t="inlineStr">
        <is>
          <t>LIDKÖPING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15374-2025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45747</v>
      </c>
      <c r="E158" s="1" t="n">
        <v>46322</v>
      </c>
      <c r="F158" t="inlineStr">
        <is>
          <t>VÄSTRA GÖTALANDS LÄN</t>
        </is>
      </c>
      <c r="G158" t="inlineStr">
        <is>
          <t>LIDKÖPING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32923-2026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46244</v>
      </c>
      <c r="E159" s="1" t="n">
        <v>46322</v>
      </c>
      <c r="F159" t="inlineStr">
        <is>
          <t>VÄSTRA GÖTALANDS LÄN</t>
        </is>
      </c>
      <c r="G159" t="inlineStr">
        <is>
          <t>LIDKÖPING</t>
        </is>
      </c>
      <c r="I159" t="n">
        <v>2.1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32944-2026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46244</v>
      </c>
      <c r="E160" s="1" t="n">
        <v>46322</v>
      </c>
      <c r="F160" t="inlineStr">
        <is>
          <t>VÄSTRA GÖTALANDS LÄN</t>
        </is>
      </c>
      <c r="G160" t="inlineStr">
        <is>
          <t>LIDKÖPING</t>
        </is>
      </c>
      <c r="I160" t="n">
        <v>1.7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11949-2023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44994</v>
      </c>
      <c r="E161" s="1" t="n">
        <v>46322</v>
      </c>
      <c r="F161" t="inlineStr">
        <is>
          <t>VÄSTRA GÖTALANDS LÄN</t>
        </is>
      </c>
      <c r="G161" t="inlineStr">
        <is>
          <t>LIDKÖPING</t>
        </is>
      </c>
      <c r="I161" t="n">
        <v>2.3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6913-2023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44967</v>
      </c>
      <c r="E162" s="1" t="n">
        <v>46322</v>
      </c>
      <c r="F162" t="inlineStr">
        <is>
          <t>VÄSTRA GÖTALANDS LÄN</t>
        </is>
      </c>
      <c r="G162" t="inlineStr">
        <is>
          <t>LIDKÖPING</t>
        </is>
      </c>
      <c r="I162" t="n">
        <v>1.4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54582-2023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45233</v>
      </c>
      <c r="E163" s="1" t="n">
        <v>46322</v>
      </c>
      <c r="F163" t="inlineStr">
        <is>
          <t>VÄSTRA GÖTALANDS LÄN</t>
        </is>
      </c>
      <c r="G163" t="inlineStr">
        <is>
          <t>LIDKÖPING</t>
        </is>
      </c>
      <c r="I163" t="n">
        <v>0.7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54279-2023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45232</v>
      </c>
      <c r="E164" s="1" t="n">
        <v>46322</v>
      </c>
      <c r="F164" t="inlineStr">
        <is>
          <t>VÄSTRA GÖTALANDS LÄN</t>
        </is>
      </c>
      <c r="G164" t="inlineStr">
        <is>
          <t>LIDKÖPING</t>
        </is>
      </c>
      <c r="I164" t="n">
        <v>1.3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41937-2025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45903</v>
      </c>
      <c r="E165" s="1" t="n">
        <v>46322</v>
      </c>
      <c r="F165" t="inlineStr">
        <is>
          <t>VÄSTRA GÖTALANDS LÄN</t>
        </is>
      </c>
      <c r="G165" t="inlineStr">
        <is>
          <t>LIDKÖPING</t>
        </is>
      </c>
      <c r="I165" t="n">
        <v>1.3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36816-2024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45538</v>
      </c>
      <c r="E166" s="1" t="n">
        <v>46322</v>
      </c>
      <c r="F166" t="inlineStr">
        <is>
          <t>VÄSTRA GÖTALANDS LÄN</t>
        </is>
      </c>
      <c r="G166" t="inlineStr">
        <is>
          <t>LIDKÖPING</t>
        </is>
      </c>
      <c r="H166" t="inlineStr">
        <is>
          <t>Kommuner</t>
        </is>
      </c>
      <c r="I166" t="n">
        <v>1.4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55984-2024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45623</v>
      </c>
      <c r="E167" s="1" t="n">
        <v>46322</v>
      </c>
      <c r="F167" t="inlineStr">
        <is>
          <t>VÄSTRA GÖTALANDS LÄN</t>
        </is>
      </c>
      <c r="G167" t="inlineStr">
        <is>
          <t>LIDKÖPING</t>
        </is>
      </c>
      <c r="I167" t="n">
        <v>1.7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35047-2024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45527</v>
      </c>
      <c r="E168" s="1" t="n">
        <v>46322</v>
      </c>
      <c r="F168" t="inlineStr">
        <is>
          <t>VÄSTRA GÖTALANDS LÄN</t>
        </is>
      </c>
      <c r="G168" t="inlineStr">
        <is>
          <t>LIDKÖPING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39646-2026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46289</v>
      </c>
      <c r="E169" s="1" t="n">
        <v>46322</v>
      </c>
      <c r="F169" t="inlineStr">
        <is>
          <t>VÄSTRA GÖTALANDS LÄN</t>
        </is>
      </c>
      <c r="G169" t="inlineStr">
        <is>
          <t>LIDKÖPING</t>
        </is>
      </c>
      <c r="I169" t="n">
        <v>12.4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25322-2024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45462</v>
      </c>
      <c r="E170" s="1" t="n">
        <v>46322</v>
      </c>
      <c r="F170" t="inlineStr">
        <is>
          <t>VÄSTRA GÖTALANDS LÄN</t>
        </is>
      </c>
      <c r="G170" t="inlineStr">
        <is>
          <t>LIDKÖPING</t>
        </is>
      </c>
      <c r="I170" t="n">
        <v>1.3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39588-2026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46289</v>
      </c>
      <c r="E171" s="1" t="n">
        <v>46322</v>
      </c>
      <c r="F171" t="inlineStr">
        <is>
          <t>VÄSTRA GÖTALANDS LÄN</t>
        </is>
      </c>
      <c r="G171" t="inlineStr">
        <is>
          <t>LIDKÖPING</t>
        </is>
      </c>
      <c r="I171" t="n">
        <v>2.2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20614-2025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45776</v>
      </c>
      <c r="E172" s="1" t="n">
        <v>46322</v>
      </c>
      <c r="F172" t="inlineStr">
        <is>
          <t>VÄSTRA GÖTALANDS LÄN</t>
        </is>
      </c>
      <c r="G172" t="inlineStr">
        <is>
          <t>LIDKÖPING</t>
        </is>
      </c>
      <c r="I172" t="n">
        <v>0.7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39914-2026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46290</v>
      </c>
      <c r="E173" s="1" t="n">
        <v>46322</v>
      </c>
      <c r="F173" t="inlineStr">
        <is>
          <t>VÄSTRA GÖTALANDS LÄN</t>
        </is>
      </c>
      <c r="G173" t="inlineStr">
        <is>
          <t>LIDKÖPING</t>
        </is>
      </c>
      <c r="I173" t="n">
        <v>1.2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31596-2024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45506</v>
      </c>
      <c r="E174" s="1" t="n">
        <v>46322</v>
      </c>
      <c r="F174" t="inlineStr">
        <is>
          <t>VÄSTRA GÖTALANDS LÄN</t>
        </is>
      </c>
      <c r="G174" t="inlineStr">
        <is>
          <t>LIDKÖPING</t>
        </is>
      </c>
      <c r="H174" t="inlineStr">
        <is>
          <t>Kommuner</t>
        </is>
      </c>
      <c r="I174" t="n">
        <v>4.3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24234-2025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45797</v>
      </c>
      <c r="E175" s="1" t="n">
        <v>46322</v>
      </c>
      <c r="F175" t="inlineStr">
        <is>
          <t>VÄSTRA GÖTALANDS LÄN</t>
        </is>
      </c>
      <c r="G175" t="inlineStr">
        <is>
          <t>LIDKÖPING</t>
        </is>
      </c>
      <c r="I175" t="n">
        <v>0.8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52999-2023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45226</v>
      </c>
      <c r="E176" s="1" t="n">
        <v>46322</v>
      </c>
      <c r="F176" t="inlineStr">
        <is>
          <t>VÄSTRA GÖTALANDS LÄN</t>
        </is>
      </c>
      <c r="G176" t="inlineStr">
        <is>
          <t>LIDKÖPING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21017-2026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46144</v>
      </c>
      <c r="E177" s="1" t="n">
        <v>46322</v>
      </c>
      <c r="F177" t="inlineStr">
        <is>
          <t>VÄSTRA GÖTALANDS LÄN</t>
        </is>
      </c>
      <c r="G177" t="inlineStr">
        <is>
          <t>LIDKÖPING</t>
        </is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53273-2023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45229</v>
      </c>
      <c r="E178" s="1" t="n">
        <v>46322</v>
      </c>
      <c r="F178" t="inlineStr">
        <is>
          <t>VÄSTRA GÖTALANDS LÄN</t>
        </is>
      </c>
      <c r="G178" t="inlineStr">
        <is>
          <t>LIDKÖPING</t>
        </is>
      </c>
      <c r="I178" t="n">
        <v>6.3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24759-2023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45084</v>
      </c>
      <c r="E179" s="1" t="n">
        <v>46322</v>
      </c>
      <c r="F179" t="inlineStr">
        <is>
          <t>VÄSTRA GÖTALANDS LÄN</t>
        </is>
      </c>
      <c r="G179" t="inlineStr">
        <is>
          <t>LIDKÖPING</t>
        </is>
      </c>
      <c r="I179" t="n">
        <v>2.9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61405-2025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46001</v>
      </c>
      <c r="E180" s="1" t="n">
        <v>46322</v>
      </c>
      <c r="F180" t="inlineStr">
        <is>
          <t>VÄSTRA GÖTALANDS LÄN</t>
        </is>
      </c>
      <c r="G180" t="inlineStr">
        <is>
          <t>LIDKÖPING</t>
        </is>
      </c>
      <c r="H180" t="inlineStr">
        <is>
          <t>Kyrkan</t>
        </is>
      </c>
      <c r="I180" t="n">
        <v>6.6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29433-2025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45824</v>
      </c>
      <c r="E181" s="1" t="n">
        <v>46322</v>
      </c>
      <c r="F181" t="inlineStr">
        <is>
          <t>VÄSTRA GÖTALANDS LÄN</t>
        </is>
      </c>
      <c r="G181" t="inlineStr">
        <is>
          <t>LIDKÖPING</t>
        </is>
      </c>
      <c r="I181" t="n">
        <v>1.4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52853-2023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45226</v>
      </c>
      <c r="E182" s="1" t="n">
        <v>46322</v>
      </c>
      <c r="F182" t="inlineStr">
        <is>
          <t>VÄSTRA GÖTALANDS LÄN</t>
        </is>
      </c>
      <c r="G182" t="inlineStr">
        <is>
          <t>LIDKÖPING</t>
        </is>
      </c>
      <c r="I182" t="n">
        <v>1.6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40495-2026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46295</v>
      </c>
      <c r="E183" s="1" t="n">
        <v>46322</v>
      </c>
      <c r="F183" t="inlineStr">
        <is>
          <t>VÄSTRA GÖTALANDS LÄN</t>
        </is>
      </c>
      <c r="G183" t="inlineStr">
        <is>
          <t>LIDKÖPING</t>
        </is>
      </c>
      <c r="I183" t="n">
        <v>2.5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8936-2026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46069</v>
      </c>
      <c r="E184" s="1" t="n">
        <v>46322</v>
      </c>
      <c r="F184" t="inlineStr">
        <is>
          <t>VÄSTRA GÖTALANDS LÄN</t>
        </is>
      </c>
      <c r="G184" t="inlineStr">
        <is>
          <t>LIDKÖPING</t>
        </is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33984-2026</t>
        </is>
      </c>
      <c r="B185" t="inlineStr">
        <is>
          <t>avverkningsanmälan</t>
        </is>
      </c>
      <c r="C185" t="inlineStr">
        <is>
          <t>Avverkning för att bevara och utveckla /försöksver</t>
        </is>
      </c>
      <c r="D185" s="1" t="n">
        <v>46252</v>
      </c>
      <c r="E185" s="1" t="n">
        <v>46322</v>
      </c>
      <c r="F185" t="inlineStr">
        <is>
          <t>VÄSTRA GÖTALANDS LÄN</t>
        </is>
      </c>
      <c r="G185" t="inlineStr">
        <is>
          <t>LIDKÖPING</t>
        </is>
      </c>
      <c r="I185" t="n">
        <v>2.9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34112-2026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46253</v>
      </c>
      <c r="E186" s="1" t="n">
        <v>46322</v>
      </c>
      <c r="F186" t="inlineStr">
        <is>
          <t>VÄSTRA GÖTALANDS LÄN</t>
        </is>
      </c>
      <c r="G186" t="inlineStr">
        <is>
          <t>LIDKÖPING</t>
        </is>
      </c>
      <c r="I186" t="n">
        <v>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36626-2026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46271</v>
      </c>
      <c r="E187" s="1" t="n">
        <v>46322</v>
      </c>
      <c r="F187" t="inlineStr">
        <is>
          <t>VÄSTRA GÖTALANDS LÄN</t>
        </is>
      </c>
      <c r="G187" t="inlineStr">
        <is>
          <t>LIDKÖPING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7212-2025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45702</v>
      </c>
      <c r="E188" s="1" t="n">
        <v>46322</v>
      </c>
      <c r="F188" t="inlineStr">
        <is>
          <t>VÄSTRA GÖTALANDS LÄN</t>
        </is>
      </c>
      <c r="G188" t="inlineStr">
        <is>
          <t>LIDKÖPING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24279-2026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46169</v>
      </c>
      <c r="E189" s="1" t="n">
        <v>46322</v>
      </c>
      <c r="F189" t="inlineStr">
        <is>
          <t>VÄSTRA GÖTALANDS LÄN</t>
        </is>
      </c>
      <c r="G189" t="inlineStr">
        <is>
          <t>LIDKÖPING</t>
        </is>
      </c>
      <c r="I189" t="n">
        <v>11.7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32395-2023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45120</v>
      </c>
      <c r="E190" s="1" t="n">
        <v>46322</v>
      </c>
      <c r="F190" t="inlineStr">
        <is>
          <t>VÄSTRA GÖTALANDS LÄN</t>
        </is>
      </c>
      <c r="G190" t="inlineStr">
        <is>
          <t>LIDKÖPING</t>
        </is>
      </c>
      <c r="I190" t="n">
        <v>1.1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6080-2023</t>
        </is>
      </c>
      <c r="B191" t="inlineStr">
        <is>
          <t>avverkningsanmälan</t>
        </is>
      </c>
      <c r="C191" t="inlineStr">
        <is>
          <t>Avverkning för annat ändamål</t>
        </is>
      </c>
      <c r="D191" s="1" t="n">
        <v>44964</v>
      </c>
      <c r="E191" s="1" t="n">
        <v>46322</v>
      </c>
      <c r="F191" t="inlineStr">
        <is>
          <t>VÄSTRA GÖTALANDS LÄN</t>
        </is>
      </c>
      <c r="G191" t="inlineStr">
        <is>
          <t>LIDKÖPING</t>
        </is>
      </c>
      <c r="I191" t="n">
        <v>1.9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35202-2023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45145</v>
      </c>
      <c r="E192" s="1" t="n">
        <v>46322</v>
      </c>
      <c r="F192" t="inlineStr">
        <is>
          <t>VÄSTRA GÖTALANDS LÄN</t>
        </is>
      </c>
      <c r="G192" t="inlineStr">
        <is>
          <t>LIDKÖPING</t>
        </is>
      </c>
      <c r="I192" t="n">
        <v>11.1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24736-2026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46171</v>
      </c>
      <c r="E193" s="1" t="n">
        <v>46322</v>
      </c>
      <c r="F193" t="inlineStr">
        <is>
          <t>VÄSTRA GÖTALANDS LÄN</t>
        </is>
      </c>
      <c r="G193" t="inlineStr">
        <is>
          <t>LIDKÖPING</t>
        </is>
      </c>
      <c r="H193" t="inlineStr">
        <is>
          <t>Kyrkan</t>
        </is>
      </c>
      <c r="I193" t="n">
        <v>3.8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33654-2022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44789</v>
      </c>
      <c r="E194" s="1" t="n">
        <v>46322</v>
      </c>
      <c r="F194" t="inlineStr">
        <is>
          <t>VÄSTRA GÖTALANDS LÄN</t>
        </is>
      </c>
      <c r="G194" t="inlineStr">
        <is>
          <t>LIDKÖPING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5577-2023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44960</v>
      </c>
      <c r="E195" s="1" t="n">
        <v>46322</v>
      </c>
      <c r="F195" t="inlineStr">
        <is>
          <t>VÄSTRA GÖTALANDS LÄN</t>
        </is>
      </c>
      <c r="G195" t="inlineStr">
        <is>
          <t>LIDKÖPING</t>
        </is>
      </c>
      <c r="I195" t="n">
        <v>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25814-2026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46178</v>
      </c>
      <c r="E196" s="1" t="n">
        <v>46322</v>
      </c>
      <c r="F196" t="inlineStr">
        <is>
          <t>VÄSTRA GÖTALANDS LÄN</t>
        </is>
      </c>
      <c r="G196" t="inlineStr">
        <is>
          <t>LIDKÖPING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30484-2023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45111</v>
      </c>
      <c r="E197" s="1" t="n">
        <v>46322</v>
      </c>
      <c r="F197" t="inlineStr">
        <is>
          <t>VÄSTRA GÖTALANDS LÄN</t>
        </is>
      </c>
      <c r="G197" t="inlineStr">
        <is>
          <t>LIDKÖPING</t>
        </is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8950-2024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45357</v>
      </c>
      <c r="E198" s="1" t="n">
        <v>46322</v>
      </c>
      <c r="F198" t="inlineStr">
        <is>
          <t>VÄSTRA GÖTALANDS LÄN</t>
        </is>
      </c>
      <c r="G198" t="inlineStr">
        <is>
          <t>LIDKÖPING</t>
        </is>
      </c>
      <c r="I198" t="n">
        <v>0.6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46876-2022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44851</v>
      </c>
      <c r="E199" s="1" t="n">
        <v>46322</v>
      </c>
      <c r="F199" t="inlineStr">
        <is>
          <t>VÄSTRA GÖTALANDS LÄN</t>
        </is>
      </c>
      <c r="G199" t="inlineStr">
        <is>
          <t>LIDKÖPING</t>
        </is>
      </c>
      <c r="I199" t="n">
        <v>7.5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13522-2023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45006</v>
      </c>
      <c r="E200" s="1" t="n">
        <v>46322</v>
      </c>
      <c r="F200" t="inlineStr">
        <is>
          <t>VÄSTRA GÖTALANDS LÄN</t>
        </is>
      </c>
      <c r="G200" t="inlineStr">
        <is>
          <t>LIDKÖPING</t>
        </is>
      </c>
      <c r="I200" t="n">
        <v>2.4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56419-2024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45623</v>
      </c>
      <c r="E201" s="1" t="n">
        <v>46322</v>
      </c>
      <c r="F201" t="inlineStr">
        <is>
          <t>VÄSTRA GÖTALANDS LÄN</t>
        </is>
      </c>
      <c r="G201" t="inlineStr">
        <is>
          <t>LIDKÖPING</t>
        </is>
      </c>
      <c r="I201" t="n">
        <v>5.6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26148-2026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46181</v>
      </c>
      <c r="E202" s="1" t="n">
        <v>46322</v>
      </c>
      <c r="F202" t="inlineStr">
        <is>
          <t>VÄSTRA GÖTALANDS LÄN</t>
        </is>
      </c>
      <c r="G202" t="inlineStr">
        <is>
          <t>LIDKÖPING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8626-2024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45355</v>
      </c>
      <c r="E203" s="1" t="n">
        <v>46322</v>
      </c>
      <c r="F203" t="inlineStr">
        <is>
          <t>VÄSTRA GÖTALANDS LÄN</t>
        </is>
      </c>
      <c r="G203" t="inlineStr">
        <is>
          <t>LIDKÖPING</t>
        </is>
      </c>
      <c r="I203" t="n">
        <v>6.4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60112-2024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45642</v>
      </c>
      <c r="E204" s="1" t="n">
        <v>46322</v>
      </c>
      <c r="F204" t="inlineStr">
        <is>
          <t>VÄSTRA GÖTALANDS LÄN</t>
        </is>
      </c>
      <c r="G204" t="inlineStr">
        <is>
          <t>LIDKÖPING</t>
        </is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31605-2024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45506</v>
      </c>
      <c r="E205" s="1" t="n">
        <v>46322</v>
      </c>
      <c r="F205" t="inlineStr">
        <is>
          <t>VÄSTRA GÖTALANDS LÄN</t>
        </is>
      </c>
      <c r="G205" t="inlineStr">
        <is>
          <t>LIDKÖPING</t>
        </is>
      </c>
      <c r="H205" t="inlineStr">
        <is>
          <t>Kommuner</t>
        </is>
      </c>
      <c r="I205" t="n">
        <v>2.7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60118-2024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45642</v>
      </c>
      <c r="E206" s="1" t="n">
        <v>46322</v>
      </c>
      <c r="F206" t="inlineStr">
        <is>
          <t>VÄSTRA GÖTALANDS LÄN</t>
        </is>
      </c>
      <c r="G206" t="inlineStr">
        <is>
          <t>LIDKÖPING</t>
        </is>
      </c>
      <c r="I206" t="n">
        <v>0.6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62551-2021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44503</v>
      </c>
      <c r="E207" s="1" t="n">
        <v>46322</v>
      </c>
      <c r="F207" t="inlineStr">
        <is>
          <t>VÄSTRA GÖTALANDS LÄN</t>
        </is>
      </c>
      <c r="G207" t="inlineStr">
        <is>
          <t>LIDKÖPING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41103-2026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46300</v>
      </c>
      <c r="E208" s="1" t="n">
        <v>46322</v>
      </c>
      <c r="F208" t="inlineStr">
        <is>
          <t>VÄSTRA GÖTALANDS LÄN</t>
        </is>
      </c>
      <c r="G208" t="inlineStr">
        <is>
          <t>LIDKÖPING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56542-2024</t>
        </is>
      </c>
      <c r="B209" t="inlineStr">
        <is>
          <t>avverkningsanmälan</t>
        </is>
      </c>
      <c r="C209" t="inlineStr">
        <is>
          <t>Avverkning för att bevara och utveckla /försöksver</t>
        </is>
      </c>
      <c r="D209" s="1" t="n">
        <v>45625</v>
      </c>
      <c r="E209" s="1" t="n">
        <v>46322</v>
      </c>
      <c r="F209" t="inlineStr">
        <is>
          <t>VÄSTRA GÖTALANDS LÄN</t>
        </is>
      </c>
      <c r="G209" t="inlineStr">
        <is>
          <t>LIDKÖPING</t>
        </is>
      </c>
      <c r="I209" t="n">
        <v>0.9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53814-2024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45615</v>
      </c>
      <c r="E210" s="1" t="n">
        <v>46322</v>
      </c>
      <c r="F210" t="inlineStr">
        <is>
          <t>VÄSTRA GÖTALANDS LÄN</t>
        </is>
      </c>
      <c r="G210" t="inlineStr">
        <is>
          <t>LIDKÖPING</t>
        </is>
      </c>
      <c r="I210" t="n">
        <v>1.8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10524-2024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45366</v>
      </c>
      <c r="E211" s="1" t="n">
        <v>46322</v>
      </c>
      <c r="F211" t="inlineStr">
        <is>
          <t>VÄSTRA GÖTALANDS LÄN</t>
        </is>
      </c>
      <c r="G211" t="inlineStr">
        <is>
          <t>LIDKÖPING</t>
        </is>
      </c>
      <c r="I211" t="n">
        <v>0.6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9422-2024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45359</v>
      </c>
      <c r="E212" s="1" t="n">
        <v>46322</v>
      </c>
      <c r="F212" t="inlineStr">
        <is>
          <t>VÄSTRA GÖTALANDS LÄN</t>
        </is>
      </c>
      <c r="G212" t="inlineStr">
        <is>
          <t>LIDKÖPING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45608-2022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44845</v>
      </c>
      <c r="E213" s="1" t="n">
        <v>46322</v>
      </c>
      <c r="F213" t="inlineStr">
        <is>
          <t>VÄSTRA GÖTALANDS LÄN</t>
        </is>
      </c>
      <c r="G213" t="inlineStr">
        <is>
          <t>LIDKÖPING</t>
        </is>
      </c>
      <c r="I213" t="n">
        <v>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42028-2026</t>
        </is>
      </c>
      <c r="B214" t="inlineStr">
        <is>
          <t>avverkningsanmälan</t>
        </is>
      </c>
      <c r="C214" t="inlineStr">
        <is>
          <t>Avverkning för annat ändamål</t>
        </is>
      </c>
      <c r="D214" s="1" t="n">
        <v>46304</v>
      </c>
      <c r="E214" s="1" t="n">
        <v>46322</v>
      </c>
      <c r="F214" t="inlineStr">
        <is>
          <t>VÄSTRA GÖTALANDS LÄN</t>
        </is>
      </c>
      <c r="G214" t="inlineStr">
        <is>
          <t>LIDKÖPING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58672-2022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44902</v>
      </c>
      <c r="E215" s="1" t="n">
        <v>46322</v>
      </c>
      <c r="F215" t="inlineStr">
        <is>
          <t>VÄSTRA GÖTALANDS LÄN</t>
        </is>
      </c>
      <c r="G215" t="inlineStr">
        <is>
          <t>LIDKÖPING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55897-2024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45622</v>
      </c>
      <c r="E216" s="1" t="n">
        <v>46322</v>
      </c>
      <c r="F216" t="inlineStr">
        <is>
          <t>VÄSTRA GÖTALANDS LÄN</t>
        </is>
      </c>
      <c r="G216" t="inlineStr">
        <is>
          <t>LIDKÖPING</t>
        </is>
      </c>
      <c r="I216" t="n">
        <v>1.8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42995-2026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46310</v>
      </c>
      <c r="E217" s="1" t="n">
        <v>46322</v>
      </c>
      <c r="F217" t="inlineStr">
        <is>
          <t>VÄSTRA GÖTALANDS LÄN</t>
        </is>
      </c>
      <c r="G217" t="inlineStr">
        <is>
          <t>LIDKÖPING</t>
        </is>
      </c>
      <c r="I217" t="n">
        <v>0.6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41163-2023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45174</v>
      </c>
      <c r="E218" s="1" t="n">
        <v>46322</v>
      </c>
      <c r="F218" t="inlineStr">
        <is>
          <t>VÄSTRA GÖTALANDS LÄN</t>
        </is>
      </c>
      <c r="G218" t="inlineStr">
        <is>
          <t>LIDKÖPING</t>
        </is>
      </c>
      <c r="I218" t="n">
        <v>3.2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42996-2026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46310</v>
      </c>
      <c r="E219" s="1" t="n">
        <v>46322</v>
      </c>
      <c r="F219" t="inlineStr">
        <is>
          <t>VÄSTRA GÖTALANDS LÄN</t>
        </is>
      </c>
      <c r="G219" t="inlineStr">
        <is>
          <t>LIDKÖPING</t>
        </is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40257-2023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45169</v>
      </c>
      <c r="E220" s="1" t="n">
        <v>46322</v>
      </c>
      <c r="F220" t="inlineStr">
        <is>
          <t>VÄSTRA GÖTALANDS LÄN</t>
        </is>
      </c>
      <c r="G220" t="inlineStr">
        <is>
          <t>LIDKÖPING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36622-2023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45153</v>
      </c>
      <c r="E221" s="1" t="n">
        <v>46322</v>
      </c>
      <c r="F221" t="inlineStr">
        <is>
          <t>VÄSTRA GÖTALANDS LÄN</t>
        </is>
      </c>
      <c r="G221" t="inlineStr">
        <is>
          <t>LIDKÖPING</t>
        </is>
      </c>
      <c r="I221" t="n">
        <v>0.4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36716-2026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46272</v>
      </c>
      <c r="E222" s="1" t="n">
        <v>46322</v>
      </c>
      <c r="F222" t="inlineStr">
        <is>
          <t>VÄSTRA GÖTALANDS LÄN</t>
        </is>
      </c>
      <c r="G222" t="inlineStr">
        <is>
          <t>LIDKÖPING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36878-2026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46273</v>
      </c>
      <c r="E223" s="1" t="n">
        <v>46322</v>
      </c>
      <c r="F223" t="inlineStr">
        <is>
          <t>VÄSTRA GÖTALANDS LÄN</t>
        </is>
      </c>
      <c r="G223" t="inlineStr">
        <is>
          <t>LIDKÖPING</t>
        </is>
      </c>
      <c r="I223" t="n">
        <v>1.4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34936-2026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46259</v>
      </c>
      <c r="E224" s="1" t="n">
        <v>46322</v>
      </c>
      <c r="F224" t="inlineStr">
        <is>
          <t>VÄSTRA GÖTALANDS LÄN</t>
        </is>
      </c>
      <c r="G224" t="inlineStr">
        <is>
          <t>LIDKÖPING</t>
        </is>
      </c>
      <c r="I224" t="n">
        <v>7.4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34941-2026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46259</v>
      </c>
      <c r="E225" s="1" t="n">
        <v>46322</v>
      </c>
      <c r="F225" t="inlineStr">
        <is>
          <t>VÄSTRA GÖTALANDS LÄN</t>
        </is>
      </c>
      <c r="G225" t="inlineStr">
        <is>
          <t>LIDKÖPING</t>
        </is>
      </c>
      <c r="I225" t="n">
        <v>9.300000000000001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34945-2026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46259</v>
      </c>
      <c r="E226" s="1" t="n">
        <v>46322</v>
      </c>
      <c r="F226" t="inlineStr">
        <is>
          <t>VÄSTRA GÖTALANDS LÄN</t>
        </is>
      </c>
      <c r="G226" t="inlineStr">
        <is>
          <t>LIDKÖPING</t>
        </is>
      </c>
      <c r="I226" t="n">
        <v>6.2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44354-2026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46321</v>
      </c>
      <c r="E227" s="1" t="n">
        <v>46322</v>
      </c>
      <c r="F227" t="inlineStr">
        <is>
          <t>VÄSTRA GÖTALANDS LÄN</t>
        </is>
      </c>
      <c r="G227" t="inlineStr">
        <is>
          <t>LIDKÖPING</t>
        </is>
      </c>
      <c r="I227" t="n">
        <v>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S 3762-2024</t>
        </is>
      </c>
      <c r="B228" t="inlineStr">
        <is>
          <t>samrådsanmälan</t>
        </is>
      </c>
      <c r="C228" t="inlineStr">
        <is>
          <t>Annan skogsbruksåtgärd</t>
        </is>
      </c>
      <c r="D228" s="1" t="n">
        <v>45558</v>
      </c>
      <c r="E228" s="1" t="n">
        <v>46322</v>
      </c>
      <c r="F228" t="inlineStr">
        <is>
          <t>VÄSTRA GÖTALANDS LÄN</t>
        </is>
      </c>
      <c r="G228" t="inlineStr">
        <is>
          <t>LIDKÖPING</t>
        </is>
      </c>
      <c r="I228" t="n">
        <v>0.4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S 1807-2022</t>
        </is>
      </c>
      <c r="B229" t="inlineStr">
        <is>
          <t>samrådsanmälan</t>
        </is>
      </c>
      <c r="C229" t="inlineStr">
        <is>
          <t>Skogsbilväg</t>
        </is>
      </c>
      <c r="D229" s="1" t="n">
        <v>44656</v>
      </c>
      <c r="E229" s="1" t="n">
        <v>46322</v>
      </c>
      <c r="F229" t="inlineStr">
        <is>
          <t>VÄSTRA GÖTALANDS LÄN</t>
        </is>
      </c>
      <c r="G229" t="inlineStr">
        <is>
          <t>LIDKÖPING</t>
        </is>
      </c>
      <c r="H229" t="inlineStr">
        <is>
          <t>Kyrkan</t>
        </is>
      </c>
      <c r="I229" t="n">
        <v>1.3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S 320-2025</t>
        </is>
      </c>
      <c r="B230" t="inlineStr">
        <is>
          <t>samrådsanmälan</t>
        </is>
      </c>
      <c r="C230" t="inlineStr">
        <is>
          <t>Annan skogsbruksåtgärd</t>
        </is>
      </c>
      <c r="D230" s="1" t="n">
        <v>45688</v>
      </c>
      <c r="E230" s="1" t="n">
        <v>46322</v>
      </c>
      <c r="F230" t="inlineStr">
        <is>
          <t>VÄSTRA GÖTALANDS LÄN</t>
        </is>
      </c>
      <c r="G230" t="inlineStr">
        <is>
          <t>LIDKÖPING</t>
        </is>
      </c>
      <c r="I230" t="n">
        <v>0.4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S 319-2025</t>
        </is>
      </c>
      <c r="B231" t="inlineStr">
        <is>
          <t>samrådsanmälan</t>
        </is>
      </c>
      <c r="C231" t="inlineStr">
        <is>
          <t>Annan skogsbruksåtgärd</t>
        </is>
      </c>
      <c r="D231" s="1" t="n">
        <v>45688</v>
      </c>
      <c r="E231" s="1" t="n">
        <v>46322</v>
      </c>
      <c r="F231" t="inlineStr">
        <is>
          <t>VÄSTRA GÖTALANDS LÄN</t>
        </is>
      </c>
      <c r="G231" t="inlineStr">
        <is>
          <t>LIDKÖPING</t>
        </is>
      </c>
      <c r="I231" t="n">
        <v>2.9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>
      <c r="A232" t="inlineStr">
        <is>
          <t>S 2767-2022</t>
        </is>
      </c>
      <c r="B232" t="inlineStr">
        <is>
          <t>samrådsanmälan</t>
        </is>
      </c>
      <c r="C232" t="inlineStr">
        <is>
          <t>Åtgärd i nyckelbiotop</t>
        </is>
      </c>
      <c r="D232" s="1" t="n">
        <v>44705</v>
      </c>
      <c r="E232" s="1" t="n">
        <v>46322</v>
      </c>
      <c r="F232" t="inlineStr">
        <is>
          <t>VÄSTRA GÖTALANDS LÄN</t>
        </is>
      </c>
      <c r="G232" t="inlineStr">
        <is>
          <t>LIDKÖPING</t>
        </is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2026-10-27T03:10:08Z</dcterms:created>
  <dcterms:modified xmlns:dcterms="http://purl.org/dc/terms/" xmlns:xsi="http://www.w3.org/2001/XMLSchema-instance" xsi:type="dcterms:W3CDTF">2026-10-27T03:10:08Z</dcterms:modified>
</cp:coreProperties>
</file>