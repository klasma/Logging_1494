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46323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46323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46323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46323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46323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46323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46323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46323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46323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46323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46323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46323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46323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46323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46323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46323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46323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46323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46323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41746-2026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46302</v>
      </c>
      <c r="E21" s="1" t="n">
        <v>46323</v>
      </c>
      <c r="F21" t="inlineStr">
        <is>
          <t>VÄSTRA GÖTALANDS LÄN</t>
        </is>
      </c>
      <c r="G21" t="inlineStr">
        <is>
          <t>LIDKÖPING</t>
        </is>
      </c>
      <c r="H21" t="inlineStr">
        <is>
          <t>Kommuner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snok</t>
        </is>
      </c>
      <c r="W21">
        <f>HYPERLINK("https://klasma.github.io/Logging_1494/artfynd/A 41746-2026 artfynd.xlsx", "A 41746-2026")</f>
        <v/>
      </c>
      <c r="X21">
        <f>HYPERLINK("https://klasma.github.io/Logging_1494/kartor/A 41746-2026 karta.png", "A 41746-2026")</f>
        <v/>
      </c>
      <c r="Y21">
        <f>HYPERLINK("https://klasma.github.io/Logging_1494/kartor_geotiff/A 41746-2026 georefererad karta.tif", "A 41746-2026")</f>
        <v/>
      </c>
      <c r="AA21">
        <f>HYPERLINK("https://klasma.github.io/Logging_1494/klagomål/A 41746-2026 FSC-klagomål.docx", "A 41746-2026")</f>
        <v/>
      </c>
      <c r="AB21">
        <f>HYPERLINK("https://klasma.github.io/Logging_1494/klagomålsmail/A 41746-2026 FSC-klagomål mail.docx", "A 41746-2026")</f>
        <v/>
      </c>
      <c r="AC21">
        <f>HYPERLINK("https://klasma.github.io/Logging_1494/tillsyn/A 41746-2026 tillsynsbegäran.docx", "A 41746-2026")</f>
        <v/>
      </c>
      <c r="AD21">
        <f>HYPERLINK("https://klasma.github.io/Logging_1494/tillsynsmail/A 41746-2026 tillsynsbegäran mail.docx", "A 41746-2026")</f>
        <v/>
      </c>
    </row>
    <row r="22" ht="15" customHeight="1">
      <c r="A22" t="inlineStr">
        <is>
          <t>A 37136-2026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46323</v>
      </c>
      <c r="F22" t="inlineStr">
        <is>
          <t>VÄSTRA GÖTALANDS LÄN</t>
        </is>
      </c>
      <c r="G22" t="inlineStr">
        <is>
          <t>LIDKÖPING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HYPERLINK("https://klasma.github.io/Logging_1494/artfynd/A 37136-2026 artfynd.xlsx", "A 37136-2026")</f>
        <v/>
      </c>
      <c r="X22">
        <f>HYPERLINK("https://klasma.github.io/Logging_1494/kartor/A 37136-2026 karta.png", "A 37136-2026")</f>
        <v/>
      </c>
      <c r="Y22">
        <f>HYPERLINK("https://klasma.github.io/Logging_1494/kartor_geotiff/A 37136-2026 georefererad karta.tif", "A 37136-2026")</f>
        <v/>
      </c>
      <c r="AA22">
        <f>HYPERLINK("https://klasma.github.io/Logging_1494/klagomål/A 37136-2026 FSC-klagomål.docx", "A 37136-2026")</f>
        <v/>
      </c>
      <c r="AB22">
        <f>HYPERLINK("https://klasma.github.io/Logging_1494/klagomålsmail/A 37136-2026 FSC-klagomål mail.docx", "A 37136-2026")</f>
        <v/>
      </c>
      <c r="AC22">
        <f>HYPERLINK("https://klasma.github.io/Logging_1494/tillsyn/A 37136-2026 tillsynsbegäran.docx", "A 37136-2026")</f>
        <v/>
      </c>
      <c r="AD22">
        <f>HYPERLINK("https://klasma.github.io/Logging_1494/tillsynsmail/A 37136-2026 tillsynsbegäran mail.docx", "A 37136-2026")</f>
        <v/>
      </c>
      <c r="AE22">
        <f>HYPERLINK("https://klasma.github.io/Logging_1494/fåglar/A 37136-2026 prioriterade fågelarter.docx", "A 37136-2026")</f>
        <v/>
      </c>
    </row>
    <row r="23" ht="15" customHeight="1">
      <c r="A23" t="inlineStr">
        <is>
          <t>A 61818-2024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45649</v>
      </c>
      <c r="E23" s="1" t="n">
        <v>46323</v>
      </c>
      <c r="F23" t="inlineStr">
        <is>
          <t>VÄSTRA GÖTALANDS LÄN</t>
        </is>
      </c>
      <c r="G23" t="inlineStr">
        <is>
          <t>LIDKÖPING</t>
        </is>
      </c>
      <c r="I23" t="n">
        <v>6.2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Rödvingetrast</t>
        </is>
      </c>
      <c r="W23">
        <f>HYPERLINK("https://klasma.github.io/Logging_1494/artfynd/A 61818-2024 artfynd.xlsx", "A 61818-2024")</f>
        <v/>
      </c>
      <c r="X23">
        <f>HYPERLINK("https://klasma.github.io/Logging_1494/kartor/A 61818-2024 karta.png", "A 61818-2024")</f>
        <v/>
      </c>
      <c r="Y23">
        <f>HYPERLINK("https://klasma.github.io/Logging_1494/kartor_geotiff/A 61818-2024 georefererad karta.tif", "A 61818-2024")</f>
        <v/>
      </c>
      <c r="AA23">
        <f>HYPERLINK("https://klasma.github.io/Logging_1494/klagomål/A 61818-2024 FSC-klagomål.docx", "A 61818-2024")</f>
        <v/>
      </c>
      <c r="AB23">
        <f>HYPERLINK("https://klasma.github.io/Logging_1494/klagomålsmail/A 61818-2024 FSC-klagomål mail.docx", "A 61818-2024")</f>
        <v/>
      </c>
      <c r="AC23">
        <f>HYPERLINK("https://klasma.github.io/Logging_1494/tillsyn/A 61818-2024 tillsynsbegäran.docx", "A 61818-2024")</f>
        <v/>
      </c>
      <c r="AD23">
        <f>HYPERLINK("https://klasma.github.io/Logging_1494/tillsynsmail/A 61818-2024 tillsynsbegäran mail.docx", "A 61818-2024")</f>
        <v/>
      </c>
      <c r="AE23">
        <f>HYPERLINK("https://klasma.github.io/Logging_1494/fåglar/A 61818-2024 prioriterade fågelarter.docx", "A 61818-2024")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46323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46323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46323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46323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46323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46323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46323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46323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46323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46323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46323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46323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46323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46323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46323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55974-2024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45623</v>
      </c>
      <c r="E41" s="1" t="n">
        <v>46323</v>
      </c>
      <c r="F41" t="inlineStr">
        <is>
          <t>VÄSTRA GÖTALANDS LÄN</t>
        </is>
      </c>
      <c r="G41" t="inlineStr">
        <is>
          <t>LIDKÖPING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55984-2024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45623</v>
      </c>
      <c r="E42" s="1" t="n">
        <v>46323</v>
      </c>
      <c r="F42" t="inlineStr">
        <is>
          <t>VÄSTRA GÖTALANDS LÄN</t>
        </is>
      </c>
      <c r="G42" t="inlineStr">
        <is>
          <t>LIDKÖPING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56419-2024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45623</v>
      </c>
      <c r="E43" s="1" t="n">
        <v>46323</v>
      </c>
      <c r="F43" t="inlineStr">
        <is>
          <t>VÄSTRA GÖTALANDS LÄN</t>
        </is>
      </c>
      <c r="G43" t="inlineStr">
        <is>
          <t>LIDKÖPING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55897-2024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45622</v>
      </c>
      <c r="E44" s="1" t="n">
        <v>46323</v>
      </c>
      <c r="F44" t="inlineStr">
        <is>
          <t>VÄSTRA GÖTALANDS LÄN</t>
        </is>
      </c>
      <c r="G44" t="inlineStr">
        <is>
          <t>LIDKÖPING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45601</v>
      </c>
      <c r="E45" s="1" t="n">
        <v>46323</v>
      </c>
      <c r="F45" t="inlineStr">
        <is>
          <t>VÄSTRA GÖTALANDS LÄN</t>
        </is>
      </c>
      <c r="G45" t="inlineStr">
        <is>
          <t>LIDKÖPING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63778-2023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45278</v>
      </c>
      <c r="E46" s="1" t="n">
        <v>46323</v>
      </c>
      <c r="F46" t="inlineStr">
        <is>
          <t>VÄSTRA GÖTALANDS LÄN</t>
        </is>
      </c>
      <c r="G46" t="inlineStr">
        <is>
          <t>LIDKÖPING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45615</v>
      </c>
      <c r="E47" s="1" t="n">
        <v>46323</v>
      </c>
      <c r="F47" t="inlineStr">
        <is>
          <t>VÄSTRA GÖTALANDS LÄN</t>
        </is>
      </c>
      <c r="G47" t="inlineStr">
        <is>
          <t>LIDKÖPING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45006</v>
      </c>
      <c r="E48" s="1" t="n">
        <v>46323</v>
      </c>
      <c r="F48" t="inlineStr">
        <is>
          <t>VÄSTRA GÖTALANDS LÄN</t>
        </is>
      </c>
      <c r="G48" t="inlineStr">
        <is>
          <t>LIDKÖPING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46323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28331-2022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46323</v>
      </c>
      <c r="F50" t="inlineStr">
        <is>
          <t>VÄSTRA GÖTALANDS LÄN</t>
        </is>
      </c>
      <c r="G50" t="inlineStr">
        <is>
          <t>LIDKÖPING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46323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46323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46323</v>
      </c>
      <c r="F53" t="inlineStr">
        <is>
          <t>VÄSTRA GÖTALANDS LÄN</t>
        </is>
      </c>
      <c r="G53" t="inlineStr">
        <is>
          <t>LIDKÖPING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46323</v>
      </c>
      <c r="F54" t="inlineStr">
        <is>
          <t>VÄSTRA GÖTALANDS LÄN</t>
        </is>
      </c>
      <c r="G54" t="inlineStr">
        <is>
          <t>LIDKÖPING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46323</v>
      </c>
      <c r="F55" t="inlineStr">
        <is>
          <t>VÄSTRA GÖTALANDS LÄN</t>
        </is>
      </c>
      <c r="G55" t="inlineStr">
        <is>
          <t>LIDKÖPING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46323</v>
      </c>
      <c r="F56" t="inlineStr">
        <is>
          <t>VÄSTRA GÖTALANDS LÄN</t>
        </is>
      </c>
      <c r="G56" t="inlineStr">
        <is>
          <t>LIDKÖPING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46323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46323</v>
      </c>
      <c r="F58" t="inlineStr">
        <is>
          <t>VÄSTRA GÖTALANDS LÄN</t>
        </is>
      </c>
      <c r="G58" t="inlineStr">
        <is>
          <t>LIDKÖPING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56365-2024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46323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59068-2023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45252</v>
      </c>
      <c r="E60" s="1" t="n">
        <v>46323</v>
      </c>
      <c r="F60" t="inlineStr">
        <is>
          <t>VÄSTRA GÖTALANDS LÄN</t>
        </is>
      </c>
      <c r="G60" t="inlineStr">
        <is>
          <t>LIDKÖPING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46323</v>
      </c>
      <c r="F61" t="inlineStr">
        <is>
          <t>VÄSTRA GÖTALANDS LÄN</t>
        </is>
      </c>
      <c r="G61" t="inlineStr">
        <is>
          <t>LIDKÖPING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44928</v>
      </c>
      <c r="E62" s="1" t="n">
        <v>46323</v>
      </c>
      <c r="F62" t="inlineStr">
        <is>
          <t>VÄSTRA GÖTALANDS LÄN</t>
        </is>
      </c>
      <c r="G62" t="inlineStr">
        <is>
          <t>LIDKÖPING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46323</v>
      </c>
      <c r="F63" t="inlineStr">
        <is>
          <t>VÄSTRA GÖTALANDS LÄN</t>
        </is>
      </c>
      <c r="G63" t="inlineStr">
        <is>
          <t>LIDKÖPING</t>
        </is>
      </c>
      <c r="I63" t="n">
        <v>22.6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7760-2025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45706</v>
      </c>
      <c r="E64" s="1" t="n">
        <v>46323</v>
      </c>
      <c r="F64" t="inlineStr">
        <is>
          <t>VÄSTRA GÖTALANDS LÄN</t>
        </is>
      </c>
      <c r="G64" t="inlineStr">
        <is>
          <t>LIDKÖPING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56413-2024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45623</v>
      </c>
      <c r="E65" s="1" t="n">
        <v>46323</v>
      </c>
      <c r="F65" t="inlineStr">
        <is>
          <t>VÄSTRA GÖTALANDS LÄN</t>
        </is>
      </c>
      <c r="G65" t="inlineStr">
        <is>
          <t>LIDKÖPING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46323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46323</v>
      </c>
      <c r="F67" t="inlineStr">
        <is>
          <t>VÄSTRA GÖTALANDS LÄN</t>
        </is>
      </c>
      <c r="G67" t="inlineStr">
        <is>
          <t>LIDKÖPING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45672</v>
      </c>
      <c r="E68" s="1" t="n">
        <v>46323</v>
      </c>
      <c r="F68" t="inlineStr">
        <is>
          <t>VÄSTRA GÖTALANDS LÄN</t>
        </is>
      </c>
      <c r="G68" t="inlineStr">
        <is>
          <t>LIDKÖPING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46323</v>
      </c>
      <c r="F69" t="inlineStr">
        <is>
          <t>VÄSTRA GÖTALANDS LÄN</t>
        </is>
      </c>
      <c r="G69" t="inlineStr">
        <is>
          <t>LIDKÖPING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44845</v>
      </c>
      <c r="E70" s="1" t="n">
        <v>46323</v>
      </c>
      <c r="F70" t="inlineStr">
        <is>
          <t>VÄSTRA GÖTALANDS LÄN</t>
        </is>
      </c>
      <c r="G70" t="inlineStr">
        <is>
          <t>LIDKÖPING</t>
        </is>
      </c>
      <c r="I70" t="n">
        <v>17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31605-2024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45506</v>
      </c>
      <c r="E71" s="1" t="n">
        <v>46323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28850-2024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45478</v>
      </c>
      <c r="E72" s="1" t="n">
        <v>46323</v>
      </c>
      <c r="F72" t="inlineStr">
        <is>
          <t>VÄSTRA GÖTALANDS LÄN</t>
        </is>
      </c>
      <c r="G72" t="inlineStr">
        <is>
          <t>LIDKÖPING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45155</v>
      </c>
      <c r="E73" s="1" t="n">
        <v>46323</v>
      </c>
      <c r="F73" t="inlineStr">
        <is>
          <t>VÄSTRA GÖTALANDS LÄN</t>
        </is>
      </c>
      <c r="G73" t="inlineStr">
        <is>
          <t>LIDKÖPING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45233</v>
      </c>
      <c r="E74" s="1" t="n">
        <v>46323</v>
      </c>
      <c r="F74" t="inlineStr">
        <is>
          <t>VÄSTRA GÖTALANDS LÄN</t>
        </is>
      </c>
      <c r="G74" t="inlineStr">
        <is>
          <t>LIDKÖPING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46323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58393-2022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44901</v>
      </c>
      <c r="E76" s="1" t="n">
        <v>46323</v>
      </c>
      <c r="F76" t="inlineStr">
        <is>
          <t>VÄSTRA GÖTALANDS LÄN</t>
        </is>
      </c>
      <c r="G76" t="inlineStr">
        <is>
          <t>LIDKÖPING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11949-2023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44994</v>
      </c>
      <c r="E77" s="1" t="n">
        <v>46323</v>
      </c>
      <c r="F77" t="inlineStr">
        <is>
          <t>VÄSTRA GÖTALANDS LÄN</t>
        </is>
      </c>
      <c r="G77" t="inlineStr">
        <is>
          <t>LIDKÖPING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36816-2024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46323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46323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46323</v>
      </c>
      <c r="F80" t="inlineStr">
        <is>
          <t>VÄSTRA GÖTALANDS LÄN</t>
        </is>
      </c>
      <c r="G80" t="inlineStr">
        <is>
          <t>LIDKÖPING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33209-2023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45127</v>
      </c>
      <c r="E81" s="1" t="n">
        <v>46323</v>
      </c>
      <c r="F81" t="inlineStr">
        <is>
          <t>VÄSTRA GÖTALANDS LÄN</t>
        </is>
      </c>
      <c r="G81" t="inlineStr">
        <is>
          <t>LIDKÖPING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45366</v>
      </c>
      <c r="E82" s="1" t="n">
        <v>46323</v>
      </c>
      <c r="F82" t="inlineStr">
        <is>
          <t>VÄSTRA GÖTALANDS LÄN</t>
        </is>
      </c>
      <c r="G82" t="inlineStr">
        <is>
          <t>LIDKÖPING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46323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46323</v>
      </c>
      <c r="F84" t="inlineStr">
        <is>
          <t>VÄSTRA GÖTALANDS LÄN</t>
        </is>
      </c>
      <c r="G84" t="inlineStr">
        <is>
          <t>LIDKÖPING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46323</v>
      </c>
      <c r="F85" t="inlineStr">
        <is>
          <t>VÄSTRA GÖTALANDS LÄN</t>
        </is>
      </c>
      <c r="G85" t="inlineStr">
        <is>
          <t>LIDKÖPING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8626-2024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45355</v>
      </c>
      <c r="E86" s="1" t="n">
        <v>46323</v>
      </c>
      <c r="F86" t="inlineStr">
        <is>
          <t>VÄSTRA GÖTALANDS LÄN</t>
        </is>
      </c>
      <c r="G86" t="inlineStr">
        <is>
          <t>LIDKÖPING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46323</v>
      </c>
      <c r="F87" t="inlineStr">
        <is>
          <t>VÄSTRA GÖTALANDS LÄN</t>
        </is>
      </c>
      <c r="G87" t="inlineStr">
        <is>
          <t>LIDKÖPING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62551-2021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44503</v>
      </c>
      <c r="E88" s="1" t="n">
        <v>46323</v>
      </c>
      <c r="F88" t="inlineStr">
        <is>
          <t>VÄSTRA GÖTALANDS LÄN</t>
        </is>
      </c>
      <c r="G88" t="inlineStr">
        <is>
          <t>LIDKÖPING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46323</v>
      </c>
      <c r="F89" t="inlineStr">
        <is>
          <t>VÄSTRA GÖTALANDS LÄN</t>
        </is>
      </c>
      <c r="G89" t="inlineStr">
        <is>
          <t>LIDKÖPING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45375</v>
      </c>
      <c r="E90" s="1" t="n">
        <v>46323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46323</v>
      </c>
      <c r="F91" t="inlineStr">
        <is>
          <t>VÄSTRA GÖTALANDS LÄN</t>
        </is>
      </c>
      <c r="G91" t="inlineStr">
        <is>
          <t>LIDKÖPING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44819</v>
      </c>
      <c r="E92" s="1" t="n">
        <v>46323</v>
      </c>
      <c r="F92" t="inlineStr">
        <is>
          <t>VÄSTRA GÖTALANDS LÄN</t>
        </is>
      </c>
      <c r="G92" t="inlineStr">
        <is>
          <t>LIDKÖPING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46323</v>
      </c>
      <c r="F93" t="inlineStr">
        <is>
          <t>VÄSTRA GÖTALANDS LÄN</t>
        </is>
      </c>
      <c r="G93" t="inlineStr">
        <is>
          <t>LIDKÖPING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46323</v>
      </c>
      <c r="F94" t="inlineStr">
        <is>
          <t>VÄSTRA GÖTALANDS LÄN</t>
        </is>
      </c>
      <c r="G94" t="inlineStr">
        <is>
          <t>LIDKÖPING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46323</v>
      </c>
      <c r="F95" t="inlineStr">
        <is>
          <t>VÄSTRA GÖTALANDS LÄN</t>
        </is>
      </c>
      <c r="G95" t="inlineStr">
        <is>
          <t>LIDKÖPING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46323</v>
      </c>
      <c r="F96" t="inlineStr">
        <is>
          <t>VÄSTRA GÖTALANDS LÄN</t>
        </is>
      </c>
      <c r="G96" t="inlineStr">
        <is>
          <t>LIDKÖPING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46323</v>
      </c>
      <c r="F97" t="inlineStr">
        <is>
          <t>VÄSTRA GÖTALANDS LÄN</t>
        </is>
      </c>
      <c r="G97" t="inlineStr">
        <is>
          <t>LIDKÖPING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46323</v>
      </c>
      <c r="F98" t="inlineStr">
        <is>
          <t>VÄSTRA GÖTALANDS LÄN</t>
        </is>
      </c>
      <c r="G98" t="inlineStr">
        <is>
          <t>LIDKÖPING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46323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46323</v>
      </c>
      <c r="F100" t="inlineStr">
        <is>
          <t>VÄSTRA GÖTALANDS LÄN</t>
        </is>
      </c>
      <c r="G100" t="inlineStr">
        <is>
          <t>LIDKÖPING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35112-2024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45529</v>
      </c>
      <c r="E101" s="1" t="n">
        <v>46323</v>
      </c>
      <c r="F101" t="inlineStr">
        <is>
          <t>VÄSTRA GÖTALANDS LÄN</t>
        </is>
      </c>
      <c r="G101" t="inlineStr">
        <is>
          <t>LIDKÖPING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46323</v>
      </c>
      <c r="F102" t="inlineStr">
        <is>
          <t>VÄSTRA GÖTALANDS LÄN</t>
        </is>
      </c>
      <c r="G102" t="inlineStr">
        <is>
          <t>LIDKÖPING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46323</v>
      </c>
      <c r="F103" t="inlineStr">
        <is>
          <t>VÄSTRA GÖTALANDS LÄN</t>
        </is>
      </c>
      <c r="G103" t="inlineStr">
        <is>
          <t>LIDKÖPING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46323</v>
      </c>
      <c r="F104" t="inlineStr">
        <is>
          <t>VÄSTRA GÖTALANDS LÄN</t>
        </is>
      </c>
      <c r="G104" t="inlineStr">
        <is>
          <t>LIDKÖPING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46323</v>
      </c>
      <c r="F105" t="inlineStr">
        <is>
          <t>VÄSTRA GÖTALANDS LÄN</t>
        </is>
      </c>
      <c r="G105" t="inlineStr">
        <is>
          <t>LIDKÖPING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46323</v>
      </c>
      <c r="F106" t="inlineStr">
        <is>
          <t>VÄSTRA GÖTALANDS LÄN</t>
        </is>
      </c>
      <c r="G106" t="inlineStr">
        <is>
          <t>LIDKÖPING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46323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45590</v>
      </c>
      <c r="E108" s="1" t="n">
        <v>46323</v>
      </c>
      <c r="F108" t="inlineStr">
        <is>
          <t>VÄSTRA GÖTALANDS LÄN</t>
        </is>
      </c>
      <c r="G108" t="inlineStr">
        <is>
          <t>LIDKÖPING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46323</v>
      </c>
      <c r="F109" t="inlineStr">
        <is>
          <t>VÄSTRA GÖTALANDS LÄN</t>
        </is>
      </c>
      <c r="G109" t="inlineStr">
        <is>
          <t>LIDKÖPING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46323</v>
      </c>
      <c r="F110" t="inlineStr">
        <is>
          <t>VÄSTRA GÖTALANDS LÄN</t>
        </is>
      </c>
      <c r="G110" t="inlineStr">
        <is>
          <t>LIDKÖPING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25322-2024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45462</v>
      </c>
      <c r="E111" s="1" t="n">
        <v>46323</v>
      </c>
      <c r="F111" t="inlineStr">
        <is>
          <t>VÄSTRA GÖTALANDS LÄN</t>
        </is>
      </c>
      <c r="G111" t="inlineStr">
        <is>
          <t>LIDKÖPING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46323</v>
      </c>
      <c r="F112" t="inlineStr">
        <is>
          <t>VÄSTRA GÖTALANDS LÄN</t>
        </is>
      </c>
      <c r="G112" t="inlineStr">
        <is>
          <t>LIDKÖPING</t>
        </is>
      </c>
      <c r="I112" t="n">
        <v>11.1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31596-2024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46323</v>
      </c>
      <c r="F113" t="inlineStr">
        <is>
          <t>VÄSTRA GÖTALANDS LÄN</t>
        </is>
      </c>
      <c r="G113" t="inlineStr">
        <is>
          <t>LIDKÖPING</t>
        </is>
      </c>
      <c r="H113" t="inlineStr">
        <is>
          <t>Kommuner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46323</v>
      </c>
      <c r="F114" t="inlineStr">
        <is>
          <t>VÄSTRA GÖTALANDS LÄN</t>
        </is>
      </c>
      <c r="G114" t="inlineStr">
        <is>
          <t>LIDKÖPING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46323</v>
      </c>
      <c r="F115" t="inlineStr">
        <is>
          <t>VÄSTRA GÖTALANDS LÄN</t>
        </is>
      </c>
      <c r="G115" t="inlineStr">
        <is>
          <t>LIDKÖPING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46323</v>
      </c>
      <c r="F116" t="inlineStr">
        <is>
          <t>VÄSTRA GÖTALANDS LÄN</t>
        </is>
      </c>
      <c r="G116" t="inlineStr">
        <is>
          <t>LIDKÖPING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56542-2024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45625</v>
      </c>
      <c r="E117" s="1" t="n">
        <v>46323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46323</v>
      </c>
      <c r="F118" t="inlineStr">
        <is>
          <t>VÄSTRA GÖTALANDS LÄN</t>
        </is>
      </c>
      <c r="G118" t="inlineStr">
        <is>
          <t>LIDKÖPING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46323</v>
      </c>
      <c r="F119" t="inlineStr">
        <is>
          <t>VÄSTRA GÖTALANDS LÄN</t>
        </is>
      </c>
      <c r="G119" t="inlineStr">
        <is>
          <t>LIDKÖPING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46323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46323</v>
      </c>
      <c r="F121" t="inlineStr">
        <is>
          <t>VÄSTRA GÖTALANDS LÄN</t>
        </is>
      </c>
      <c r="G121" t="inlineStr">
        <is>
          <t>LIDKÖPING</t>
        </is>
      </c>
      <c r="I121" t="n">
        <v>17.4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46323</v>
      </c>
      <c r="F122" t="inlineStr">
        <is>
          <t>VÄSTRA GÖTALANDS LÄN</t>
        </is>
      </c>
      <c r="G122" t="inlineStr">
        <is>
          <t>LIDKÖPING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46323</v>
      </c>
      <c r="F123" t="inlineStr">
        <is>
          <t>VÄSTRA GÖTALANDS LÄN</t>
        </is>
      </c>
      <c r="G123" t="inlineStr">
        <is>
          <t>LIDKÖPING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53769-2024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46323</v>
      </c>
      <c r="F124" t="inlineStr">
        <is>
          <t>VÄSTRA GÖTALANDS LÄN</t>
        </is>
      </c>
      <c r="G124" t="inlineStr">
        <is>
          <t>LIDKÖPING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46323</v>
      </c>
      <c r="F125" t="inlineStr">
        <is>
          <t>VÄSTRA GÖTALANDS LÄN</t>
        </is>
      </c>
      <c r="G125" t="inlineStr">
        <is>
          <t>LIDKÖPING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11563-2025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45727</v>
      </c>
      <c r="E126" s="1" t="n">
        <v>46323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53275-2023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45229</v>
      </c>
      <c r="E127" s="1" t="n">
        <v>46323</v>
      </c>
      <c r="F127" t="inlineStr">
        <is>
          <t>VÄSTRA GÖTALANDS LÄN</t>
        </is>
      </c>
      <c r="G127" t="inlineStr">
        <is>
          <t>LIDKÖPING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45572</v>
      </c>
      <c r="E128" s="1" t="n">
        <v>46323</v>
      </c>
      <c r="F128" t="inlineStr">
        <is>
          <t>VÄSTRA GÖTALANDS LÄN</t>
        </is>
      </c>
      <c r="G128" t="inlineStr">
        <is>
          <t>LIDKÖPING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46323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Kyrkan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46323</v>
      </c>
      <c r="F130" t="inlineStr">
        <is>
          <t>VÄSTRA GÖTALANDS LÄN</t>
        </is>
      </c>
      <c r="G130" t="inlineStr">
        <is>
          <t>LIDKÖPING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60642-2023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45260</v>
      </c>
      <c r="E131" s="1" t="n">
        <v>46323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46231</v>
      </c>
      <c r="E132" s="1" t="n">
        <v>46323</v>
      </c>
      <c r="F132" t="inlineStr">
        <is>
          <t>VÄSTRA GÖTALANDS LÄN</t>
        </is>
      </c>
      <c r="G132" t="inlineStr">
        <is>
          <t>LIDKÖPING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44308-2023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46323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31897-2026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46231</v>
      </c>
      <c r="E134" s="1" t="n">
        <v>46323</v>
      </c>
      <c r="F134" t="inlineStr">
        <is>
          <t>VÄSTRA GÖTALANDS LÄN</t>
        </is>
      </c>
      <c r="G134" t="inlineStr">
        <is>
          <t>LIDKÖPING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46231</v>
      </c>
      <c r="E135" s="1" t="n">
        <v>46323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46230</v>
      </c>
      <c r="E136" s="1" t="n">
        <v>46323</v>
      </c>
      <c r="F136" t="inlineStr">
        <is>
          <t>VÄSTRA GÖTALANDS LÄN</t>
        </is>
      </c>
      <c r="G136" t="inlineStr">
        <is>
          <t>LIDKÖPING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19840-2025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45771</v>
      </c>
      <c r="E137" s="1" t="n">
        <v>46323</v>
      </c>
      <c r="F137" t="inlineStr">
        <is>
          <t>VÄSTRA GÖTALANDS LÄN</t>
        </is>
      </c>
      <c r="G137" t="inlineStr">
        <is>
          <t>LIDKÖPING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46239</v>
      </c>
      <c r="E138" s="1" t="n">
        <v>46323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46239</v>
      </c>
      <c r="E139" s="1" t="n">
        <v>46323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Kyrkan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46323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46239</v>
      </c>
      <c r="E141" s="1" t="n">
        <v>46323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Kyrkan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46323</v>
      </c>
      <c r="F142" t="inlineStr">
        <is>
          <t>VÄSTRA GÖTALANDS LÄN</t>
        </is>
      </c>
      <c r="G142" t="inlineStr">
        <is>
          <t>LIDKÖPING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46323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8953-2023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46323</v>
      </c>
      <c r="F144" t="inlineStr">
        <is>
          <t>VÄSTRA GÖTALANDS LÄN</t>
        </is>
      </c>
      <c r="G144" t="inlineStr">
        <is>
          <t>LIDKÖPING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59644-2023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46323</v>
      </c>
      <c r="F145" t="inlineStr">
        <is>
          <t>VÄSTRA GÖTALANDS LÄN</t>
        </is>
      </c>
      <c r="G145" t="inlineStr">
        <is>
          <t>LIDKÖPING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46323</v>
      </c>
      <c r="F146" t="inlineStr">
        <is>
          <t>VÄSTRA GÖTALANDS LÄN</t>
        </is>
      </c>
      <c r="G146" t="inlineStr">
        <is>
          <t>LIDKÖPING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46244</v>
      </c>
      <c r="E147" s="1" t="n">
        <v>46323</v>
      </c>
      <c r="F147" t="inlineStr">
        <is>
          <t>VÄSTRA GÖTALANDS LÄN</t>
        </is>
      </c>
      <c r="G147" t="inlineStr">
        <is>
          <t>LIDKÖPING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46289</v>
      </c>
      <c r="E148" s="1" t="n">
        <v>46323</v>
      </c>
      <c r="F148" t="inlineStr">
        <is>
          <t>VÄSTRA GÖTALANDS LÄN</t>
        </is>
      </c>
      <c r="G148" t="inlineStr">
        <is>
          <t>LIDKÖPING</t>
        </is>
      </c>
      <c r="I148" t="n">
        <v>12.4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39914-2026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46290</v>
      </c>
      <c r="E149" s="1" t="n">
        <v>46323</v>
      </c>
      <c r="F149" t="inlineStr">
        <is>
          <t>VÄSTRA GÖTALANDS LÄN</t>
        </is>
      </c>
      <c r="G149" t="inlineStr">
        <is>
          <t>LIDKÖPING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44964</v>
      </c>
      <c r="E150" s="1" t="n">
        <v>46323</v>
      </c>
      <c r="F150" t="inlineStr">
        <is>
          <t>VÄSTRA GÖTALANDS LÄN</t>
        </is>
      </c>
      <c r="G150" t="inlineStr">
        <is>
          <t>LIDKÖPING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46289</v>
      </c>
      <c r="E151" s="1" t="n">
        <v>46323</v>
      </c>
      <c r="F151" t="inlineStr">
        <is>
          <t>VÄSTRA GÖTALANDS LÄN</t>
        </is>
      </c>
      <c r="G151" t="inlineStr">
        <is>
          <t>LIDKÖPING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46323</v>
      </c>
      <c r="F152" t="inlineStr">
        <is>
          <t>VÄSTRA GÖTALANDS LÄN</t>
        </is>
      </c>
      <c r="G152" t="inlineStr">
        <is>
          <t>LIDKÖPING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45635</v>
      </c>
      <c r="E153" s="1" t="n">
        <v>46323</v>
      </c>
      <c r="F153" t="inlineStr">
        <is>
          <t>VÄSTRA GÖTALANDS LÄN</t>
        </is>
      </c>
      <c r="G153" t="inlineStr">
        <is>
          <t>LIDKÖPING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34112-2026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46253</v>
      </c>
      <c r="E154" s="1" t="n">
        <v>46323</v>
      </c>
      <c r="F154" t="inlineStr">
        <is>
          <t>VÄSTRA GÖTALANDS LÄN</t>
        </is>
      </c>
      <c r="G154" t="inlineStr">
        <is>
          <t>LIDKÖPING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33984-2026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46252</v>
      </c>
      <c r="E155" s="1" t="n">
        <v>46323</v>
      </c>
      <c r="F155" t="inlineStr">
        <is>
          <t>VÄSTRA GÖTALANDS LÄN</t>
        </is>
      </c>
      <c r="G155" t="inlineStr">
        <is>
          <t>LIDKÖPING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40495-2026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46295</v>
      </c>
      <c r="E156" s="1" t="n">
        <v>46323</v>
      </c>
      <c r="F156" t="inlineStr">
        <is>
          <t>VÄSTRA GÖTALANDS LÄN</t>
        </is>
      </c>
      <c r="G156" t="inlineStr">
        <is>
          <t>LIDKÖPING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46323</v>
      </c>
      <c r="F157" t="inlineStr">
        <is>
          <t>VÄSTRA GÖTALANDS LÄN</t>
        </is>
      </c>
      <c r="G157" t="inlineStr">
        <is>
          <t>LIDKÖPING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46323</v>
      </c>
      <c r="F158" t="inlineStr">
        <is>
          <t>VÄSTRA GÖTALANDS LÄN</t>
        </is>
      </c>
      <c r="G158" t="inlineStr">
        <is>
          <t>LIDKÖPING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46120</v>
      </c>
      <c r="E159" s="1" t="n">
        <v>46323</v>
      </c>
      <c r="F159" t="inlineStr">
        <is>
          <t>VÄSTRA GÖTALANDS LÄN</t>
        </is>
      </c>
      <c r="G159" t="inlineStr">
        <is>
          <t>LIDKÖPING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46323</v>
      </c>
      <c r="F160" t="inlineStr">
        <is>
          <t>VÄSTRA GÖTALANDS LÄN</t>
        </is>
      </c>
      <c r="G160" t="inlineStr">
        <is>
          <t>LIDKÖPING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46323</v>
      </c>
      <c r="F161" t="inlineStr">
        <is>
          <t>VÄSTRA GÖTALANDS LÄN</t>
        </is>
      </c>
      <c r="G161" t="inlineStr">
        <is>
          <t>LIDKÖPING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17958-2026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46323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46300</v>
      </c>
      <c r="E163" s="1" t="n">
        <v>46323</v>
      </c>
      <c r="F163" t="inlineStr">
        <is>
          <t>VÄSTRA GÖTALANDS LÄN</t>
        </is>
      </c>
      <c r="G163" t="inlineStr">
        <is>
          <t>LIDKÖPING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46271</v>
      </c>
      <c r="E164" s="1" t="n">
        <v>46323</v>
      </c>
      <c r="F164" t="inlineStr">
        <is>
          <t>VÄSTRA GÖTALANDS LÄN</t>
        </is>
      </c>
      <c r="G164" t="inlineStr">
        <is>
          <t>LIDKÖPING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46323</v>
      </c>
      <c r="F165" t="inlineStr">
        <is>
          <t>VÄSTRA GÖTALANDS LÄN</t>
        </is>
      </c>
      <c r="G165" t="inlineStr">
        <is>
          <t>LIDKÖPING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46323</v>
      </c>
      <c r="F166" t="inlineStr">
        <is>
          <t>VÄSTRA GÖTALANDS LÄN</t>
        </is>
      </c>
      <c r="G166" t="inlineStr">
        <is>
          <t>LIDKÖPING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46323</v>
      </c>
      <c r="F167" t="inlineStr">
        <is>
          <t>VÄSTRA GÖTALANDS LÄN</t>
        </is>
      </c>
      <c r="G167" t="inlineStr">
        <is>
          <t>LIDKÖPING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46323</v>
      </c>
      <c r="F168" t="inlineStr">
        <is>
          <t>VÄSTRA GÖTALANDS LÄN</t>
        </is>
      </c>
      <c r="G168" t="inlineStr">
        <is>
          <t>LIDKÖPING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58420-2023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45250</v>
      </c>
      <c r="E169" s="1" t="n">
        <v>46323</v>
      </c>
      <c r="F169" t="inlineStr">
        <is>
          <t>VÄSTRA GÖTALANDS LÄN</t>
        </is>
      </c>
      <c r="G169" t="inlineStr">
        <is>
          <t>LIDKÖPING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53279-2023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45229</v>
      </c>
      <c r="E170" s="1" t="n">
        <v>46323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46323</v>
      </c>
      <c r="F171" t="inlineStr">
        <is>
          <t>VÄSTRA GÖTALANDS LÄN</t>
        </is>
      </c>
      <c r="G171" t="inlineStr">
        <is>
          <t>LIDKÖPING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42028-2026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46304</v>
      </c>
      <c r="E172" s="1" t="n">
        <v>46323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46323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45006</v>
      </c>
      <c r="E174" s="1" t="n">
        <v>46323</v>
      </c>
      <c r="F174" t="inlineStr">
        <is>
          <t>VÄSTRA GÖTALANDS LÄN</t>
        </is>
      </c>
      <c r="G174" t="inlineStr">
        <is>
          <t>LIDKÖPING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46323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46323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46323</v>
      </c>
      <c r="F177" t="inlineStr">
        <is>
          <t>VÄSTRA GÖTALANDS LÄN</t>
        </is>
      </c>
      <c r="G177" t="inlineStr">
        <is>
          <t>LIDKÖPING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46323</v>
      </c>
      <c r="F178" t="inlineStr">
        <is>
          <t>VÄSTRA GÖTALANDS LÄN</t>
        </is>
      </c>
      <c r="G178" t="inlineStr">
        <is>
          <t>LIDKÖPING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46323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46323</v>
      </c>
      <c r="F180" t="inlineStr">
        <is>
          <t>VÄSTRA GÖTALANDS LÄN</t>
        </is>
      </c>
      <c r="G180" t="inlineStr">
        <is>
          <t>LIDKÖPING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45590</v>
      </c>
      <c r="E181" s="1" t="n">
        <v>46323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46323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32952-2023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45125</v>
      </c>
      <c r="E183" s="1" t="n">
        <v>46323</v>
      </c>
      <c r="F183" t="inlineStr">
        <is>
          <t>VÄSTRA GÖTALANDS LÄN</t>
        </is>
      </c>
      <c r="G183" t="inlineStr">
        <is>
          <t>LIDKÖPING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46310</v>
      </c>
      <c r="E184" s="1" t="n">
        <v>46323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46310</v>
      </c>
      <c r="E185" s="1" t="n">
        <v>46323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46323</v>
      </c>
      <c r="F186" t="inlineStr">
        <is>
          <t>VÄSTRA GÖTALANDS LÄN</t>
        </is>
      </c>
      <c r="G186" t="inlineStr">
        <is>
          <t>LIDKÖPING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44967</v>
      </c>
      <c r="E187" s="1" t="n">
        <v>46323</v>
      </c>
      <c r="F187" t="inlineStr">
        <is>
          <t>VÄSTRA GÖTALANDS LÄN</t>
        </is>
      </c>
      <c r="G187" t="inlineStr">
        <is>
          <t>LIDKÖPING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46323</v>
      </c>
      <c r="F188" t="inlineStr">
        <is>
          <t>VÄSTRA GÖTALANDS LÄN</t>
        </is>
      </c>
      <c r="G188" t="inlineStr">
        <is>
          <t>LIDKÖPING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46323</v>
      </c>
      <c r="F189" t="inlineStr">
        <is>
          <t>VÄSTRA GÖTALANDS LÄN</t>
        </is>
      </c>
      <c r="G189" t="inlineStr">
        <is>
          <t>LIDKÖPING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45776</v>
      </c>
      <c r="E190" s="1" t="n">
        <v>46323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46323</v>
      </c>
      <c r="F191" t="inlineStr">
        <is>
          <t>VÄSTRA GÖTALANDS LÄN</t>
        </is>
      </c>
      <c r="G191" t="inlineStr">
        <is>
          <t>LIDKÖPING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46323</v>
      </c>
      <c r="F192" t="inlineStr">
        <is>
          <t>VÄSTRA GÖTALANDS LÄN</t>
        </is>
      </c>
      <c r="G192" t="inlineStr">
        <is>
          <t>LIDKÖPING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46323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36716-2026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46323</v>
      </c>
      <c r="F194" t="inlineStr">
        <is>
          <t>VÄSTRA GÖTALANDS LÄN</t>
        </is>
      </c>
      <c r="G194" t="inlineStr">
        <is>
          <t>LIDKÖPING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46273</v>
      </c>
      <c r="E195" s="1" t="n">
        <v>46323</v>
      </c>
      <c r="F195" t="inlineStr">
        <is>
          <t>VÄSTRA GÖTALANDS LÄN</t>
        </is>
      </c>
      <c r="G195" t="inlineStr">
        <is>
          <t>LIDKÖPING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44767</v>
      </c>
      <c r="E196" s="1" t="n">
        <v>46323</v>
      </c>
      <c r="F196" t="inlineStr">
        <is>
          <t>VÄSTRA GÖTALANDS LÄN</t>
        </is>
      </c>
      <c r="G196" t="inlineStr">
        <is>
          <t>LIDKÖPING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46323</v>
      </c>
      <c r="F197" t="inlineStr">
        <is>
          <t>VÄSTRA GÖTALANDS LÄN</t>
        </is>
      </c>
      <c r="G197" t="inlineStr">
        <is>
          <t>LIDKÖPING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46323</v>
      </c>
      <c r="F198" t="inlineStr">
        <is>
          <t>VÄSTRA GÖTALANDS LÄN</t>
        </is>
      </c>
      <c r="G198" t="inlineStr">
        <is>
          <t>LIDKÖPING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46144</v>
      </c>
      <c r="E199" s="1" t="n">
        <v>46323</v>
      </c>
      <c r="F199" t="inlineStr">
        <is>
          <t>VÄSTRA GÖTALANDS LÄN</t>
        </is>
      </c>
      <c r="G199" t="inlineStr">
        <is>
          <t>LIDKÖPING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46323</v>
      </c>
      <c r="F200" t="inlineStr">
        <is>
          <t>VÄSTRA GÖTALANDS LÄN</t>
        </is>
      </c>
      <c r="G200" t="inlineStr">
        <is>
          <t>LIDKÖPING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46323</v>
      </c>
      <c r="F201" t="inlineStr">
        <is>
          <t>VÄSTRA GÖTALANDS LÄN</t>
        </is>
      </c>
      <c r="G201" t="inlineStr">
        <is>
          <t>LIDKÖPING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46323</v>
      </c>
      <c r="F202" t="inlineStr">
        <is>
          <t>VÄSTRA GÖTALANDS LÄN</t>
        </is>
      </c>
      <c r="G202" t="inlineStr">
        <is>
          <t>LIDKÖPING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46323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46259</v>
      </c>
      <c r="E204" s="1" t="n">
        <v>46323</v>
      </c>
      <c r="F204" t="inlineStr">
        <is>
          <t>VÄSTRA GÖTALANDS LÄN</t>
        </is>
      </c>
      <c r="G204" t="inlineStr">
        <is>
          <t>LIDKÖPING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46323</v>
      </c>
      <c r="F205" t="inlineStr">
        <is>
          <t>VÄSTRA GÖTALANDS LÄN</t>
        </is>
      </c>
      <c r="G205" t="inlineStr">
        <is>
          <t>LIDKÖPING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46280</v>
      </c>
      <c r="E206" s="1" t="n">
        <v>46323</v>
      </c>
      <c r="F206" t="inlineStr">
        <is>
          <t>VÄSTRA GÖTALANDS LÄN</t>
        </is>
      </c>
      <c r="G206" t="inlineStr">
        <is>
          <t>LIDKÖPING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46280</v>
      </c>
      <c r="E207" s="1" t="n">
        <v>46323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46323</v>
      </c>
      <c r="F208" t="inlineStr">
        <is>
          <t>VÄSTRA GÖTALANDS LÄN</t>
        </is>
      </c>
      <c r="G208" t="inlineStr">
        <is>
          <t>LIDKÖPING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46323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59069-2023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45252</v>
      </c>
      <c r="E210" s="1" t="n">
        <v>46323</v>
      </c>
      <c r="F210" t="inlineStr">
        <is>
          <t>VÄSTRA GÖTALANDS LÄN</t>
        </is>
      </c>
      <c r="G210" t="inlineStr">
        <is>
          <t>LIDKÖPING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46323</v>
      </c>
      <c r="F211" t="inlineStr">
        <is>
          <t>VÄSTRA GÖTALANDS LÄN</t>
        </is>
      </c>
      <c r="G211" t="inlineStr">
        <is>
          <t>LIDKÖPING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46323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46321</v>
      </c>
      <c r="E213" s="1" t="n">
        <v>46323</v>
      </c>
      <c r="F213" t="inlineStr">
        <is>
          <t>VÄSTRA GÖTALANDS LÄN</t>
        </is>
      </c>
      <c r="G213" t="inlineStr">
        <is>
          <t>LIDKÖPING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46323</v>
      </c>
      <c r="F214" t="inlineStr">
        <is>
          <t>VÄSTRA GÖTALANDS LÄN</t>
        </is>
      </c>
      <c r="G214" t="inlineStr">
        <is>
          <t>LIDKÖPING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46323</v>
      </c>
      <c r="F215" t="inlineStr">
        <is>
          <t>VÄSTRA GÖTALANDS LÄN</t>
        </is>
      </c>
      <c r="G215" t="inlineStr">
        <is>
          <t>LIDKÖPING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45867</v>
      </c>
      <c r="E216" s="1" t="n">
        <v>46323</v>
      </c>
      <c r="F216" t="inlineStr">
        <is>
          <t>VÄSTRA GÖTALANDS LÄN</t>
        </is>
      </c>
      <c r="G216" t="inlineStr">
        <is>
          <t>LIDKÖPING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37195-2025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45875</v>
      </c>
      <c r="E217" s="1" t="n">
        <v>46323</v>
      </c>
      <c r="F217" t="inlineStr">
        <is>
          <t>VÄSTRA GÖTALANDS LÄN</t>
        </is>
      </c>
      <c r="G217" t="inlineStr">
        <is>
          <t>LIDKÖPING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46323</v>
      </c>
      <c r="F218" t="inlineStr">
        <is>
          <t>VÄSTRA GÖTALANDS LÄN</t>
        </is>
      </c>
      <c r="G218" t="inlineStr">
        <is>
          <t>LIDKÖPING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46323</v>
      </c>
      <c r="F219" t="inlineStr">
        <is>
          <t>VÄSTRA GÖTALANDS LÄN</t>
        </is>
      </c>
      <c r="G219" t="inlineStr">
        <is>
          <t>LIDKÖPING</t>
        </is>
      </c>
      <c r="H219" t="inlineStr">
        <is>
          <t>Kyrkan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48411-2022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44858</v>
      </c>
      <c r="E220" s="1" t="n">
        <v>46323</v>
      </c>
      <c r="F220" t="inlineStr">
        <is>
          <t>VÄSTRA GÖTALANDS LÄN</t>
        </is>
      </c>
      <c r="G220" t="inlineStr">
        <is>
          <t>LIDKÖPING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44789</v>
      </c>
      <c r="E221" s="1" t="n">
        <v>46323</v>
      </c>
      <c r="F221" t="inlineStr">
        <is>
          <t>VÄSTRA GÖTALANDS LÄN</t>
        </is>
      </c>
      <c r="G221" t="inlineStr">
        <is>
          <t>LIDKÖPING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25814-2026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46323</v>
      </c>
      <c r="F222" t="inlineStr">
        <is>
          <t>VÄSTRA GÖTALANDS LÄN</t>
        </is>
      </c>
      <c r="G222" t="inlineStr">
        <is>
          <t>LIDKÖPING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46323</v>
      </c>
      <c r="F223" t="inlineStr">
        <is>
          <t>VÄSTRA GÖTALANDS LÄN</t>
        </is>
      </c>
      <c r="G223" t="inlineStr">
        <is>
          <t>LIDKÖPING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46323</v>
      </c>
      <c r="F224" t="inlineStr">
        <is>
          <t>VÄSTRA GÖTALANDS LÄN</t>
        </is>
      </c>
      <c r="G224" t="inlineStr">
        <is>
          <t>LIDKÖPING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46323</v>
      </c>
      <c r="F225" t="inlineStr">
        <is>
          <t>VÄSTRA GÖTALANDS LÄN</t>
        </is>
      </c>
      <c r="G225" t="inlineStr">
        <is>
          <t>LIDKÖPING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28068-2026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46323</v>
      </c>
      <c r="F226" t="inlineStr">
        <is>
          <t>VÄSTRA GÖTALANDS LÄN</t>
        </is>
      </c>
      <c r="G226" t="inlineStr">
        <is>
          <t>LIDKÖPING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46196</v>
      </c>
      <c r="E227" s="1" t="n">
        <v>46323</v>
      </c>
      <c r="F227" t="inlineStr">
        <is>
          <t>VÄSTRA GÖTALANDS LÄN</t>
        </is>
      </c>
      <c r="G227" t="inlineStr">
        <is>
          <t>LIDKÖPING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1807-2022</t>
        </is>
      </c>
      <c r="B228" t="inlineStr">
        <is>
          <t>samrådsanmälan</t>
        </is>
      </c>
      <c r="C228" t="inlineStr">
        <is>
          <t>Skogsbilväg</t>
        </is>
      </c>
      <c r="D228" s="1" t="n">
        <v>44656</v>
      </c>
      <c r="E228" s="1" t="n">
        <v>46323</v>
      </c>
      <c r="F228" t="inlineStr">
        <is>
          <t>VÄSTRA GÖTALANDS LÄN</t>
        </is>
      </c>
      <c r="G228" t="inlineStr">
        <is>
          <t>LIDKÖPING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3762-2024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45558</v>
      </c>
      <c r="E229" s="1" t="n">
        <v>46323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320-2025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46323</v>
      </c>
      <c r="F230" t="inlineStr">
        <is>
          <t>VÄSTRA GÖTALANDS LÄN</t>
        </is>
      </c>
      <c r="G230" t="inlineStr">
        <is>
          <t>LIDKÖPING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319-2025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46323</v>
      </c>
      <c r="F231" t="inlineStr">
        <is>
          <t>VÄSTRA GÖTALANDS LÄN</t>
        </is>
      </c>
      <c r="G231" t="inlineStr">
        <is>
          <t>LIDKÖPING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2767-2022</t>
        </is>
      </c>
      <c r="B232" t="inlineStr">
        <is>
          <t>samrådsanmälan</t>
        </is>
      </c>
      <c r="C232" t="inlineStr">
        <is>
          <t>Åtgärd i nyckelbiotop</t>
        </is>
      </c>
      <c r="D232" s="1" t="n">
        <v>44705</v>
      </c>
      <c r="E232" s="1" t="n">
        <v>46323</v>
      </c>
      <c r="F232" t="inlineStr">
        <is>
          <t>VÄSTRA GÖTALANDS LÄN</t>
        </is>
      </c>
      <c r="G232" t="inlineStr">
        <is>
          <t>LIDKÖPING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2026-10-28T03:15:00Z</dcterms:created>
  <dcterms:modified xmlns:dcterms="http://purl.org/dc/terms/" xmlns:xsi="http://www.w3.org/2001/XMLSchema-instance" xsi:type="dcterms:W3CDTF">2026-10-28T03:15:01Z</dcterms:modified>
</cp:coreProperties>
</file>