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45789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20821-2024</t>
        </is>
      </c>
      <c r="B3" s="1" t="n">
        <v>45439</v>
      </c>
      <c r="C3" s="1" t="n">
        <v>45789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Övriga statliga verk och myndigheter</t>
        </is>
      </c>
      <c r="G3" t="n">
        <v>8.199999999999999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Nordfladdermus
Sydfladdermus
Dvärgpipistrell
Gråskimlig fladdermus
Större brunfladdermus
Vattenfladdermus</t>
        </is>
      </c>
      <c r="S3">
        <f>HYPERLINK("https://klasma.github.io/Logging_1494/artfynd/A 20821-2024 artfynd.xlsx", "A 20821-2024")</f>
        <v/>
      </c>
      <c r="T3">
        <f>HYPERLINK("https://klasma.github.io/Logging_1494/kartor/A 20821-2024 karta.png", "A 20821-2024")</f>
        <v/>
      </c>
      <c r="V3">
        <f>HYPERLINK("https://klasma.github.io/Logging_1494/klagomål/A 20821-2024 FSC-klagomål.docx", "A 20821-2024")</f>
        <v/>
      </c>
      <c r="W3">
        <f>HYPERLINK("https://klasma.github.io/Logging_1494/klagomålsmail/A 20821-2024 FSC-klagomål mail.docx", "A 20821-2024")</f>
        <v/>
      </c>
      <c r="X3">
        <f>HYPERLINK("https://klasma.github.io/Logging_1494/tillsyn/A 20821-2024 tillsynsbegäran.docx", "A 20821-2024")</f>
        <v/>
      </c>
      <c r="Y3">
        <f>HYPERLINK("https://klasma.github.io/Logging_1494/tillsynsmail/A 20821-2024 tillsynsbegäran mail.docx", "A 20821-2024")</f>
        <v/>
      </c>
    </row>
    <row r="4" ht="15" customHeight="1">
      <c r="A4" t="inlineStr">
        <is>
          <t>A 3329-2021</t>
        </is>
      </c>
      <c r="B4" s="1" t="n">
        <v>44217</v>
      </c>
      <c r="C4" s="1" t="n">
        <v>45789</v>
      </c>
      <c r="D4" t="inlineStr">
        <is>
          <t>VÄSTRA GÖTALANDS LÄN</t>
        </is>
      </c>
      <c r="E4" t="inlineStr">
        <is>
          <t>LIDKÖPING</t>
        </is>
      </c>
      <c r="G4" t="n">
        <v>22.7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Svinrot
Kopparödla
Skogsödla
Revlummer</t>
        </is>
      </c>
      <c r="S4">
        <f>HYPERLINK("https://klasma.github.io/Logging_1494/artfynd/A 3329-2021 artfynd.xlsx", "A 3329-2021")</f>
        <v/>
      </c>
      <c r="T4">
        <f>HYPERLINK("https://klasma.github.io/Logging_1494/kartor/A 3329-2021 karta.png", "A 3329-2021")</f>
        <v/>
      </c>
      <c r="V4">
        <f>HYPERLINK("https://klasma.github.io/Logging_1494/klagomål/A 3329-2021 FSC-klagomål.docx", "A 3329-2021")</f>
        <v/>
      </c>
      <c r="W4">
        <f>HYPERLINK("https://klasma.github.io/Logging_1494/klagomålsmail/A 3329-2021 FSC-klagomål mail.docx", "A 3329-2021")</f>
        <v/>
      </c>
      <c r="X4">
        <f>HYPERLINK("https://klasma.github.io/Logging_1494/tillsyn/A 3329-2021 tillsynsbegäran.docx", "A 3329-2021")</f>
        <v/>
      </c>
      <c r="Y4">
        <f>HYPERLINK("https://klasma.github.io/Logging_1494/tillsynsmail/A 3329-2021 tillsynsbegäran mail.docx", "A 3329-2021")</f>
        <v/>
      </c>
      <c r="Z4">
        <f>HYPERLINK("https://klasma.github.io/Logging_1494/fåglar/A 3329-2021 prioriterade fågelarter.docx", "A 3329-2021")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45789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45789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45789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45789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45789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45789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45789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45789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45789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45789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45789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45789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45789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45789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45789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45789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45789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45789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45789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45789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45789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45789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45789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45789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45789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45789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45789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45789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45789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45789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45789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45789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45789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45789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45789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45789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45789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45789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45789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45789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45789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45789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45789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45789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45789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45789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45789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45789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45789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45789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45789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45789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45789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45789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45789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45789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45789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45789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45789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45789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45789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45789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45789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45789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45789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45789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45789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45789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45789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45789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45789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45789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45789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45789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45789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45789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45789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45789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45789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45789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45789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45789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45789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45789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45789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45789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45789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45789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45789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45789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45789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45789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45789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45789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45789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45789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45789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45789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45789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45789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45789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45789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45789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45789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45789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45789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45789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45789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45789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45789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45789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45789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45789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45789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45789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45789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45789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45789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45789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45789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45789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45789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45789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45789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45789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45789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45789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45789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45789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45789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45789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45789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45789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45789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45789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45789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45789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45789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45789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45789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45789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45789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45789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45789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45789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45789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45789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45789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45789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45789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45789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45789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45789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45789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45789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45789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45789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45789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45789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45789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45789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45789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45789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45789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45789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45789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45789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45789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45789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45789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45789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45789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45789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45789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45789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45789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45789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45789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45789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45789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45789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45789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45789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45789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45789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45789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45789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45789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45789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45789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45789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45789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45789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45789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45789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45789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45789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45789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45789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45789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45789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45789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45789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45789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45789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45789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45789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45789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45789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45789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45789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45789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45789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45789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45789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45789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45789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45789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45789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45789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45789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45789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45789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45789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45789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45789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45789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45789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45789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45789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45789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45789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45789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45789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45789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45789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45789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45789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45789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45789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45789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45789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45789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45789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45789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45789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45789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45789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45789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45789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45789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45789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45789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45789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45789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45789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45789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45789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45789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45789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45789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45789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45789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45789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45789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45789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45789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45789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45789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45789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45789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45789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45789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45789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45789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45789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45789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45789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45789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45789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45789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45789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45789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45789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45789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45789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45789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45789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45789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45789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45789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45789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45789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45789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45789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45789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45789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45789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45789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45789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45789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45789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45789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45789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45789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45789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45789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45789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45789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45789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45789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45789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45789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45789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45789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45789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45789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45789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45789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45789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45789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45789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45789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45789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45789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45789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45789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45789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45789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45789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45789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45789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45789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45789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45789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45789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45789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45789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45789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45789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45789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45789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45789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45789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45789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45789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45789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45789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45789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45789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45789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45789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45789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45789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45789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45789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45789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45789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45789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45789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45789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45789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45789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45789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45789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45789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45789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45789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45789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45789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45789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45789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45789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45789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45789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45789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45789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45789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45789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45789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45789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45789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45789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45789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45789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45789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45789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45789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45789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45789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45789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45789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45789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45789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45789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45789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45789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45789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45789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45789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45789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45789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45789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45789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45789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45789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45789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45789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45789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45789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45789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45789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45789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45789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45789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45789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45789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45789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45789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45789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45789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45789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45789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45789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45789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45789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45789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45789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45789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45789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45789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45789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45789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45789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45789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45789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45789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45789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45789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45789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45789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45789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45789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45789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45789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45789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45789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45789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45789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45789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45789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45789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45789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45789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45789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45789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45789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45789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45789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45789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45789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45789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45789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45789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45789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45789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45789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45789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20614-2025</t>
        </is>
      </c>
      <c r="B473" s="1" t="n">
        <v>45776</v>
      </c>
      <c r="C473" s="1" t="n">
        <v>45789</v>
      </c>
      <c r="D473" t="inlineStr">
        <is>
          <t>VÄSTRA GÖTALANDS LÄN</t>
        </is>
      </c>
      <c r="E473" t="inlineStr">
        <is>
          <t>LIDKÖPING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2025-05-12T17:31:28Z</dcterms:created>
  <dcterms:modified xmlns:dcterms="http://purl.org/dc/terms/" xmlns:xsi="http://www.w3.org/2001/XMLSchema-instance" xsi:type="dcterms:W3CDTF">2025-05-12T17:31:28Z</dcterms:modified>
</cp:coreProperties>
</file>