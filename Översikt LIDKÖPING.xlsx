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46224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46224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46224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46224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46224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46224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46224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46224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24352-2025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45797</v>
      </c>
      <c r="E14" s="1" t="n">
        <v>46224</v>
      </c>
      <c r="F14" t="inlineStr">
        <is>
          <t>VÄSTRA GÖTALANDS LÄN</t>
        </is>
      </c>
      <c r="G14" t="inlineStr">
        <is>
          <t>LIDKÖPING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HYPERLINK("https://klasma.github.io/Logging_1494/artfynd/A 24352-2025 artfynd.xlsx", "A 24352-2025")</f>
        <v/>
      </c>
      <c r="X14">
        <f>HYPERLINK("https://klasma.github.io/Logging_1494/kartor/A 24352-2025 karta.png", "A 24352-2025")</f>
        <v/>
      </c>
      <c r="Y14">
        <f>HYPERLINK("https://klasma.github.io/Logging_1494/kartor_geotiff/A 24352-2025 georefererad karta.tif", "A 24352-2025")</f>
        <v/>
      </c>
      <c r="AA14">
        <f>HYPERLINK("https://klasma.github.io/Logging_1494/klagomål/A 24352-2025 FSC-klagomål.docx", "A 24352-2025")</f>
        <v/>
      </c>
      <c r="AB14">
        <f>HYPERLINK("https://klasma.github.io/Logging_1494/klagomålsmail/A 24352-2025 FSC-klagomål mail.docx", "A 24352-2025")</f>
        <v/>
      </c>
      <c r="AC14">
        <f>HYPERLINK("https://klasma.github.io/Logging_1494/tillsyn/A 24352-2025 tillsynsbegäran.docx", "A 24352-2025")</f>
        <v/>
      </c>
      <c r="AD14">
        <f>HYPERLINK("https://klasma.github.io/Logging_1494/tillsynsmail/A 24352-2025 tillsynsbegäran mail.docx", "A 24352-2025")</f>
        <v/>
      </c>
      <c r="AE14">
        <f>HYPERLINK("https://klasma.github.io/Logging_1494/fåglar/A 24352-2025 prioriterade fågelarter.docx", "A 24352-2025")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46224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46224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46224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46224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46224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46224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46224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46224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46224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46224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46224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46224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46224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46224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46224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46224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46224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46224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46224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46224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46224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46224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46224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46224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46224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46224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46224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46224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46224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46224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46224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56373-2024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46224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46224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48411-2022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46224</v>
      </c>
      <c r="F51" t="inlineStr">
        <is>
          <t>VÄSTRA GÖTALANDS LÄN</t>
        </is>
      </c>
      <c r="G51" t="inlineStr">
        <is>
          <t>LIDKÖPING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46224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46224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46224</v>
      </c>
      <c r="F54" t="inlineStr">
        <is>
          <t>VÄSTRA GÖTALANDS LÄN</t>
        </is>
      </c>
      <c r="G54" t="inlineStr">
        <is>
          <t>LIDKÖPING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46224</v>
      </c>
      <c r="F55" t="inlineStr">
        <is>
          <t>VÄSTRA GÖTALANDS LÄN</t>
        </is>
      </c>
      <c r="G55" t="inlineStr">
        <is>
          <t>LIDKÖPING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45572</v>
      </c>
      <c r="E56" s="1" t="n">
        <v>46224</v>
      </c>
      <c r="F56" t="inlineStr">
        <is>
          <t>VÄSTRA GÖTALANDS LÄN</t>
        </is>
      </c>
      <c r="G56" t="inlineStr">
        <is>
          <t>LIDKÖPING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11563-2025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45727</v>
      </c>
      <c r="E57" s="1" t="n">
        <v>46224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19840-2025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45771</v>
      </c>
      <c r="E58" s="1" t="n">
        <v>46224</v>
      </c>
      <c r="F58" t="inlineStr">
        <is>
          <t>VÄSTRA GÖTALANDS LÄN</t>
        </is>
      </c>
      <c r="G58" t="inlineStr">
        <is>
          <t>LIDKÖPING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45375</v>
      </c>
      <c r="E59" s="1" t="n">
        <v>46224</v>
      </c>
      <c r="F59" t="inlineStr">
        <is>
          <t>VÄSTRA GÖTALANDS LÄN</t>
        </is>
      </c>
      <c r="G59" t="inlineStr">
        <is>
          <t>LIDKÖPING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58420-2023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45250</v>
      </c>
      <c r="E60" s="1" t="n">
        <v>46224</v>
      </c>
      <c r="F60" t="inlineStr">
        <is>
          <t>VÄSTRA GÖTALANDS LÄN</t>
        </is>
      </c>
      <c r="G60" t="inlineStr">
        <is>
          <t>LIDKÖPING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46224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46224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55974-2024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45623</v>
      </c>
      <c r="E63" s="1" t="n">
        <v>46224</v>
      </c>
      <c r="F63" t="inlineStr">
        <is>
          <t>VÄSTRA GÖTALANDS LÄN</t>
        </is>
      </c>
      <c r="G63" t="inlineStr">
        <is>
          <t>LIDKÖPING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46224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44819</v>
      </c>
      <c r="E65" s="1" t="n">
        <v>46224</v>
      </c>
      <c r="F65" t="inlineStr">
        <is>
          <t>VÄSTRA GÖTALANDS LÄN</t>
        </is>
      </c>
      <c r="G65" t="inlineStr">
        <is>
          <t>LIDKÖPING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46224</v>
      </c>
      <c r="F66" t="inlineStr">
        <is>
          <t>VÄSTRA GÖTALANDS LÄN</t>
        </is>
      </c>
      <c r="G66" t="inlineStr">
        <is>
          <t>LIDKÖPING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46224</v>
      </c>
      <c r="F67" t="inlineStr">
        <is>
          <t>VÄSTRA GÖTALANDS LÄN</t>
        </is>
      </c>
      <c r="G67" t="inlineStr">
        <is>
          <t>LIDKÖPING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63778-2023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45278</v>
      </c>
      <c r="E68" s="1" t="n">
        <v>46224</v>
      </c>
      <c r="F68" t="inlineStr">
        <is>
          <t>VÄSTRA GÖTALANDS LÄN</t>
        </is>
      </c>
      <c r="G68" t="inlineStr">
        <is>
          <t>LIDKÖPING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45229</v>
      </c>
      <c r="E69" s="1" t="n">
        <v>46224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46224</v>
      </c>
      <c r="F70" t="inlineStr">
        <is>
          <t>VÄSTRA GÖTALANDS LÄN</t>
        </is>
      </c>
      <c r="G70" t="inlineStr">
        <is>
          <t>LIDKÖPING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46224</v>
      </c>
      <c r="F71" t="inlineStr">
        <is>
          <t>VÄSTRA GÖTALANDS LÄN</t>
        </is>
      </c>
      <c r="G71" t="inlineStr">
        <is>
          <t>LIDKÖPING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46224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46224</v>
      </c>
      <c r="F73" t="inlineStr">
        <is>
          <t>VÄSTRA GÖTALANDS LÄN</t>
        </is>
      </c>
      <c r="G73" t="inlineStr">
        <is>
          <t>LIDKÖPING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46224</v>
      </c>
      <c r="F74" t="inlineStr">
        <is>
          <t>VÄSTRA GÖTALANDS LÄN</t>
        </is>
      </c>
      <c r="G74" t="inlineStr">
        <is>
          <t>LIDKÖPING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45670</v>
      </c>
      <c r="E75" s="1" t="n">
        <v>46224</v>
      </c>
      <c r="F75" t="inlineStr">
        <is>
          <t>VÄSTRA GÖTALANDS LÄN</t>
        </is>
      </c>
      <c r="G75" t="inlineStr">
        <is>
          <t>LIDKÖPING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46224</v>
      </c>
      <c r="F76" t="inlineStr">
        <is>
          <t>VÄSTRA GÖTALANDS LÄN</t>
        </is>
      </c>
      <c r="G76" t="inlineStr">
        <is>
          <t>LIDKÖPING</t>
        </is>
      </c>
      <c r="I76" t="n">
        <v>17.4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45837</v>
      </c>
      <c r="E77" s="1" t="n">
        <v>46224</v>
      </c>
      <c r="F77" t="inlineStr">
        <is>
          <t>VÄSTRA GÖTALANDS LÄN</t>
        </is>
      </c>
      <c r="G77" t="inlineStr">
        <is>
          <t>LIDKÖPING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46224</v>
      </c>
      <c r="F78" t="inlineStr">
        <is>
          <t>VÄSTRA GÖTALANDS LÄN</t>
        </is>
      </c>
      <c r="G78" t="inlineStr">
        <is>
          <t>LIDKÖPING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46224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46224</v>
      </c>
      <c r="F80" t="inlineStr">
        <is>
          <t>VÄSTRA GÖTALANDS LÄN</t>
        </is>
      </c>
      <c r="G80" t="inlineStr">
        <is>
          <t>LIDKÖPING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46224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59068-2023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45252</v>
      </c>
      <c r="E82" s="1" t="n">
        <v>46224</v>
      </c>
      <c r="F82" t="inlineStr">
        <is>
          <t>VÄSTRA GÖTALANDS LÄN</t>
        </is>
      </c>
      <c r="G82" t="inlineStr">
        <is>
          <t>LIDKÖPING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46224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46224</v>
      </c>
      <c r="F84" t="inlineStr">
        <is>
          <t>VÄSTRA GÖTALANDS LÄN</t>
        </is>
      </c>
      <c r="G84" t="inlineStr">
        <is>
          <t>LIDKÖPING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45601</v>
      </c>
      <c r="E85" s="1" t="n">
        <v>46224</v>
      </c>
      <c r="F85" t="inlineStr">
        <is>
          <t>VÄSTRA GÖTALANDS LÄN</t>
        </is>
      </c>
      <c r="G85" t="inlineStr">
        <is>
          <t>LIDKÖPING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46224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45867</v>
      </c>
      <c r="E87" s="1" t="n">
        <v>46224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52719-2025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46224</v>
      </c>
      <c r="F88" t="inlineStr">
        <is>
          <t>VÄSTRA GÖTALANDS LÄN</t>
        </is>
      </c>
      <c r="G88" t="inlineStr">
        <is>
          <t>LIDKÖPING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46224</v>
      </c>
      <c r="F89" t="inlineStr">
        <is>
          <t>VÄSTRA GÖTALANDS LÄN</t>
        </is>
      </c>
      <c r="G89" t="inlineStr">
        <is>
          <t>LIDKÖPING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45125</v>
      </c>
      <c r="E90" s="1" t="n">
        <v>46224</v>
      </c>
      <c r="F90" t="inlineStr">
        <is>
          <t>VÄSTRA GÖTALANDS LÄN</t>
        </is>
      </c>
      <c r="G90" t="inlineStr">
        <is>
          <t>LIDKÖPING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46224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46224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37195-2025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45875</v>
      </c>
      <c r="E93" s="1" t="n">
        <v>46224</v>
      </c>
      <c r="F93" t="inlineStr">
        <is>
          <t>VÄSTRA GÖTALANDS LÄN</t>
        </is>
      </c>
      <c r="G93" t="inlineStr">
        <is>
          <t>LIDKÖPING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46224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46224</v>
      </c>
      <c r="F95" t="inlineStr">
        <is>
          <t>VÄSTRA GÖTALANDS LÄN</t>
        </is>
      </c>
      <c r="G95" t="inlineStr">
        <is>
          <t>LIDKÖPING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46224</v>
      </c>
      <c r="F96" t="inlineStr">
        <is>
          <t>VÄSTRA GÖTALANDS LÄN</t>
        </is>
      </c>
      <c r="G96" t="inlineStr">
        <is>
          <t>LIDKÖPING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46224</v>
      </c>
      <c r="F97" t="inlineStr">
        <is>
          <t>VÄSTRA GÖTALANDS LÄN</t>
        </is>
      </c>
      <c r="G97" t="inlineStr">
        <is>
          <t>LIDKÖPING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46224</v>
      </c>
      <c r="F98" t="inlineStr">
        <is>
          <t>VÄSTRA GÖTALANDS LÄN</t>
        </is>
      </c>
      <c r="G98" t="inlineStr">
        <is>
          <t>LIDKÖPING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44767</v>
      </c>
      <c r="E99" s="1" t="n">
        <v>46224</v>
      </c>
      <c r="F99" t="inlineStr">
        <is>
          <t>VÄSTRA GÖTALANDS LÄN</t>
        </is>
      </c>
      <c r="G99" t="inlineStr">
        <is>
          <t>LIDKÖPING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46224</v>
      </c>
      <c r="F100" t="inlineStr">
        <is>
          <t>VÄSTRA GÖTALANDS LÄN</t>
        </is>
      </c>
      <c r="G100" t="inlineStr">
        <is>
          <t>LIDKÖPING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46224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46224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46061</v>
      </c>
      <c r="E103" s="1" t="n">
        <v>46224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45660</v>
      </c>
      <c r="E104" s="1" t="n">
        <v>46224</v>
      </c>
      <c r="F104" t="inlineStr">
        <is>
          <t>VÄSTRA GÖTALANDS LÄN</t>
        </is>
      </c>
      <c r="G104" t="inlineStr">
        <is>
          <t>LIDKÖPING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46224</v>
      </c>
      <c r="F105" t="inlineStr">
        <is>
          <t>VÄSTRA GÖTALANDS LÄN</t>
        </is>
      </c>
      <c r="G105" t="inlineStr">
        <is>
          <t>LIDKÖPING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46224</v>
      </c>
      <c r="F106" t="inlineStr">
        <is>
          <t>VÄSTRA GÖTALANDS LÄN</t>
        </is>
      </c>
      <c r="G106" t="inlineStr">
        <is>
          <t>LIDKÖPING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46224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46224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46224</v>
      </c>
      <c r="F109" t="inlineStr">
        <is>
          <t>VÄSTRA GÖTALANDS LÄN</t>
        </is>
      </c>
      <c r="G109" t="inlineStr">
        <is>
          <t>LIDKÖPING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45529</v>
      </c>
      <c r="E110" s="1" t="n">
        <v>46224</v>
      </c>
      <c r="F110" t="inlineStr">
        <is>
          <t>VÄSTRA GÖTALANDS LÄN</t>
        </is>
      </c>
      <c r="G110" t="inlineStr">
        <is>
          <t>LIDKÖPING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46224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45623</v>
      </c>
      <c r="E112" s="1" t="n">
        <v>46224</v>
      </c>
      <c r="F112" t="inlineStr">
        <is>
          <t>VÄSTRA GÖTALANDS LÄN</t>
        </is>
      </c>
      <c r="G112" t="inlineStr">
        <is>
          <t>LIDKÖPING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46224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46224</v>
      </c>
      <c r="F114" t="inlineStr">
        <is>
          <t>VÄSTRA GÖTALANDS LÄN</t>
        </is>
      </c>
      <c r="G114" t="inlineStr">
        <is>
          <t>LIDKÖPING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46224</v>
      </c>
      <c r="F115" t="inlineStr">
        <is>
          <t>VÄSTRA GÖTALANDS LÄN</t>
        </is>
      </c>
      <c r="G115" t="inlineStr">
        <is>
          <t>LIDKÖPING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46100</v>
      </c>
      <c r="E116" s="1" t="n">
        <v>46224</v>
      </c>
      <c r="F116" t="inlineStr">
        <is>
          <t>VÄSTRA GÖTALANDS LÄN</t>
        </is>
      </c>
      <c r="G116" t="inlineStr">
        <is>
          <t>LIDKÖPING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36835-2024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45538</v>
      </c>
      <c r="E117" s="1" t="n">
        <v>46224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44901</v>
      </c>
      <c r="E118" s="1" t="n">
        <v>46224</v>
      </c>
      <c r="F118" t="inlineStr">
        <is>
          <t>VÄSTRA GÖTALANDS LÄN</t>
        </is>
      </c>
      <c r="G118" t="inlineStr">
        <is>
          <t>LIDKÖPING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46224</v>
      </c>
      <c r="F119" t="inlineStr">
        <is>
          <t>VÄSTRA GÖTALANDS LÄN</t>
        </is>
      </c>
      <c r="G119" t="inlineStr">
        <is>
          <t>LIDKÖPING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46224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46224</v>
      </c>
      <c r="F121" t="inlineStr">
        <is>
          <t>VÄSTRA GÖTALANDS LÄN</t>
        </is>
      </c>
      <c r="G121" t="inlineStr">
        <is>
          <t>LIDKÖPING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46224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46120</v>
      </c>
      <c r="E123" s="1" t="n">
        <v>46224</v>
      </c>
      <c r="F123" t="inlineStr">
        <is>
          <t>VÄSTRA GÖTALANDS LÄN</t>
        </is>
      </c>
      <c r="G123" t="inlineStr">
        <is>
          <t>LIDKÖPING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46224</v>
      </c>
      <c r="F124" t="inlineStr">
        <is>
          <t>VÄSTRA GÖTALANDS LÄN</t>
        </is>
      </c>
      <c r="G124" t="inlineStr">
        <is>
          <t>LIDKÖPING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46120</v>
      </c>
      <c r="E125" s="1" t="n">
        <v>46224</v>
      </c>
      <c r="F125" t="inlineStr">
        <is>
          <t>VÄSTRA GÖTALANDS LÄN</t>
        </is>
      </c>
      <c r="G125" t="inlineStr">
        <is>
          <t>LIDKÖPING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17524-2026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46224</v>
      </c>
      <c r="F126" t="inlineStr">
        <is>
          <t>VÄSTRA GÖTALANDS LÄN</t>
        </is>
      </c>
      <c r="G126" t="inlineStr">
        <is>
          <t>LIDKÖPING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46224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Kommuner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46122</v>
      </c>
      <c r="E128" s="1" t="n">
        <v>46224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46224</v>
      </c>
      <c r="F129" t="inlineStr">
        <is>
          <t>VÄSTRA GÖTALANDS LÄN</t>
        </is>
      </c>
      <c r="G129" t="inlineStr">
        <is>
          <t>LIDKÖPING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46224</v>
      </c>
      <c r="F130" t="inlineStr">
        <is>
          <t>VÄSTRA GÖTALANDS LÄN</t>
        </is>
      </c>
      <c r="G130" t="inlineStr">
        <is>
          <t>LIDKÖPING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46224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46129</v>
      </c>
      <c r="E132" s="1" t="n">
        <v>46224</v>
      </c>
      <c r="F132" t="inlineStr">
        <is>
          <t>VÄSTRA GÖTALANDS LÄN</t>
        </is>
      </c>
      <c r="G132" t="inlineStr">
        <is>
          <t>LIDKÖPING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46224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46224</v>
      </c>
      <c r="F134" t="inlineStr">
        <is>
          <t>VÄSTRA GÖTALANDS LÄN</t>
        </is>
      </c>
      <c r="G134" t="inlineStr">
        <is>
          <t>LIDKÖPING</t>
        </is>
      </c>
      <c r="H134" t="inlineStr">
        <is>
          <t>Kommuner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46224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46224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46224</v>
      </c>
      <c r="F137" t="inlineStr">
        <is>
          <t>VÄSTRA GÖTALANDS LÄN</t>
        </is>
      </c>
      <c r="G137" t="inlineStr">
        <is>
          <t>LIDKÖPING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46224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53273-2023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45229</v>
      </c>
      <c r="E139" s="1" t="n">
        <v>46224</v>
      </c>
      <c r="F139" t="inlineStr">
        <is>
          <t>VÄSTRA GÖTALANDS LÄN</t>
        </is>
      </c>
      <c r="G139" t="inlineStr">
        <is>
          <t>LIDKÖPING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45084</v>
      </c>
      <c r="E140" s="1" t="n">
        <v>46224</v>
      </c>
      <c r="F140" t="inlineStr">
        <is>
          <t>VÄSTRA GÖTALANDS LÄN</t>
        </is>
      </c>
      <c r="G140" t="inlineStr">
        <is>
          <t>LIDKÖPING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46224</v>
      </c>
      <c r="F141" t="inlineStr">
        <is>
          <t>VÄSTRA GÖTALANDS LÄN</t>
        </is>
      </c>
      <c r="G141" t="inlineStr">
        <is>
          <t>LIDKÖPING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45226</v>
      </c>
      <c r="E142" s="1" t="n">
        <v>46224</v>
      </c>
      <c r="F142" t="inlineStr">
        <is>
          <t>VÄSTRA GÖTALANDS LÄN</t>
        </is>
      </c>
      <c r="G142" t="inlineStr">
        <is>
          <t>LIDKÖPING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46224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46224</v>
      </c>
      <c r="F144" t="inlineStr">
        <is>
          <t>VÄSTRA GÖTALANDS LÄN</t>
        </is>
      </c>
      <c r="G144" t="inlineStr">
        <is>
          <t>LIDKÖPING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46224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45120</v>
      </c>
      <c r="E146" s="1" t="n">
        <v>46224</v>
      </c>
      <c r="F146" t="inlineStr">
        <is>
          <t>VÄSTRA GÖTALANDS LÄN</t>
        </is>
      </c>
      <c r="G146" t="inlineStr">
        <is>
          <t>LIDKÖPING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6080-2023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44964</v>
      </c>
      <c r="E147" s="1" t="n">
        <v>46224</v>
      </c>
      <c r="F147" t="inlineStr">
        <is>
          <t>VÄSTRA GÖTALANDS LÄN</t>
        </is>
      </c>
      <c r="G147" t="inlineStr">
        <is>
          <t>LIDKÖPING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46224</v>
      </c>
      <c r="F148" t="inlineStr">
        <is>
          <t>VÄSTRA GÖTALANDS LÄN</t>
        </is>
      </c>
      <c r="G148" t="inlineStr">
        <is>
          <t>LIDKÖPING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46224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46224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46224</v>
      </c>
      <c r="F151" t="inlineStr">
        <is>
          <t>VÄSTRA GÖTALANDS LÄN</t>
        </is>
      </c>
      <c r="G151" t="inlineStr">
        <is>
          <t>LIDKÖPING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46224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46224</v>
      </c>
      <c r="F153" t="inlineStr">
        <is>
          <t>VÄSTRA GÖTALANDS LÄN</t>
        </is>
      </c>
      <c r="G153" t="inlineStr">
        <is>
          <t>LIDKÖPING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46224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46224</v>
      </c>
      <c r="F155" t="inlineStr">
        <is>
          <t>VÄSTRA GÖTALANDS LÄN</t>
        </is>
      </c>
      <c r="G155" t="inlineStr">
        <is>
          <t>LIDKÖPING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46224</v>
      </c>
      <c r="F156" t="inlineStr">
        <is>
          <t>VÄSTRA GÖTALANDS LÄN</t>
        </is>
      </c>
      <c r="G156" t="inlineStr">
        <is>
          <t>LIDKÖPING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46224</v>
      </c>
      <c r="F157" t="inlineStr">
        <is>
          <t>VÄSTRA GÖTALANDS LÄN</t>
        </is>
      </c>
      <c r="G157" t="inlineStr">
        <is>
          <t>LIDKÖPING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46224</v>
      </c>
      <c r="F158" t="inlineStr">
        <is>
          <t>VÄSTRA GÖTALANDS LÄN</t>
        </is>
      </c>
      <c r="G158" t="inlineStr">
        <is>
          <t>LIDKÖPING</t>
        </is>
      </c>
      <c r="H158" t="inlineStr">
        <is>
          <t>Kommuner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46144</v>
      </c>
      <c r="E159" s="1" t="n">
        <v>46224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46224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62551-2021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46224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56542-2024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45625</v>
      </c>
      <c r="E162" s="1" t="n">
        <v>46224</v>
      </c>
      <c r="F162" t="inlineStr">
        <is>
          <t>VÄSTRA GÖTALANDS LÄN</t>
        </is>
      </c>
      <c r="G162" t="inlineStr">
        <is>
          <t>LIDKÖPING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46224</v>
      </c>
      <c r="F163" t="inlineStr">
        <is>
          <t>VÄSTRA GÖTALANDS LÄN</t>
        </is>
      </c>
      <c r="G163" t="inlineStr">
        <is>
          <t>LIDKÖPING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46224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46224</v>
      </c>
      <c r="F165" t="inlineStr">
        <is>
          <t>VÄSTRA GÖTALANDS LÄN</t>
        </is>
      </c>
      <c r="G165" t="inlineStr">
        <is>
          <t>LIDKÖPING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46224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46224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46224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46224</v>
      </c>
      <c r="F169" t="inlineStr">
        <is>
          <t>VÄSTRA GÖTALANDS LÄN</t>
        </is>
      </c>
      <c r="G169" t="inlineStr">
        <is>
          <t>LIDKÖPING</t>
        </is>
      </c>
      <c r="I169" t="n">
        <v>17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46224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46224</v>
      </c>
      <c r="F171" t="inlineStr">
        <is>
          <t>VÄSTRA GÖTALANDS LÄN</t>
        </is>
      </c>
      <c r="G171" t="inlineStr">
        <is>
          <t>LIDKÖPING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46224</v>
      </c>
      <c r="F172" t="inlineStr">
        <is>
          <t>VÄSTRA GÖTALANDS LÄN</t>
        </is>
      </c>
      <c r="G172" t="inlineStr">
        <is>
          <t>LIDKÖPING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46224</v>
      </c>
      <c r="F173" t="inlineStr">
        <is>
          <t>VÄSTRA GÖTALANDS LÄN</t>
        </is>
      </c>
      <c r="G173" t="inlineStr">
        <is>
          <t>LIDKÖPING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46224</v>
      </c>
      <c r="F174" t="inlineStr">
        <is>
          <t>VÄSTRA GÖTALANDS LÄN</t>
        </is>
      </c>
      <c r="G174" t="inlineStr">
        <is>
          <t>LIDKÖPING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46224</v>
      </c>
      <c r="F175" t="inlineStr">
        <is>
          <t>VÄSTRA GÖTALANDS LÄN</t>
        </is>
      </c>
      <c r="G175" t="inlineStr">
        <is>
          <t>LIDKÖPING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46224</v>
      </c>
      <c r="F176" t="inlineStr">
        <is>
          <t>VÄSTRA GÖTALANDS LÄN</t>
        </is>
      </c>
      <c r="G176" t="inlineStr">
        <is>
          <t>LIDKÖPING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46224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46224</v>
      </c>
      <c r="F178" t="inlineStr">
        <is>
          <t>VÄSTRA GÖTALANDS LÄN</t>
        </is>
      </c>
      <c r="G178" t="inlineStr">
        <is>
          <t>LIDKÖPING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46224</v>
      </c>
      <c r="F179" t="inlineStr">
        <is>
          <t>VÄSTRA GÖTALANDS LÄN</t>
        </is>
      </c>
      <c r="G179" t="inlineStr">
        <is>
          <t>LIDKÖPING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46224</v>
      </c>
      <c r="F180" t="inlineStr">
        <is>
          <t>VÄSTRA GÖTALANDS LÄN</t>
        </is>
      </c>
      <c r="G180" t="inlineStr">
        <is>
          <t>LIDKÖPING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46224</v>
      </c>
      <c r="F181" t="inlineStr">
        <is>
          <t>VÄSTRA GÖTALANDS LÄN</t>
        </is>
      </c>
      <c r="G181" t="inlineStr">
        <is>
          <t>LIDKÖPING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46224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46224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46224</v>
      </c>
      <c r="F184" t="inlineStr">
        <is>
          <t>VÄSTRA GÖTALANDS LÄN</t>
        </is>
      </c>
      <c r="G184" t="inlineStr">
        <is>
          <t>LIDKÖPING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46224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46224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46224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46224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46224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46224</v>
      </c>
      <c r="F190" t="inlineStr">
        <is>
          <t>VÄSTRA GÖTALANDS LÄN</t>
        </is>
      </c>
      <c r="G190" t="inlineStr">
        <is>
          <t>LIDKÖPING</t>
        </is>
      </c>
      <c r="H190" t="inlineStr">
        <is>
          <t>Kyrkan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44789</v>
      </c>
      <c r="E191" s="1" t="n">
        <v>46224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46224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46224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46224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46224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46224</v>
      </c>
      <c r="F196" t="inlineStr">
        <is>
          <t>VÄSTRA GÖTALANDS LÄN</t>
        </is>
      </c>
      <c r="G196" t="inlineStr">
        <is>
          <t>LIDKÖPING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45426</v>
      </c>
      <c r="E197" s="1" t="n">
        <v>46224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46224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46224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46181</v>
      </c>
      <c r="E200" s="1" t="n">
        <v>46224</v>
      </c>
      <c r="F200" t="inlineStr">
        <is>
          <t>VÄSTRA GÖTALANDS LÄN</t>
        </is>
      </c>
      <c r="G200" t="inlineStr">
        <is>
          <t>LIDKÖPING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46224</v>
      </c>
      <c r="F201" t="inlineStr">
        <is>
          <t>VÄSTRA GÖTALANDS LÄN</t>
        </is>
      </c>
      <c r="G201" t="inlineStr">
        <is>
          <t>LIDKÖPING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46224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46224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46224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46224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46224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46224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46224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2026-07-21T01:35:46Z</dcterms:created>
  <dcterms:modified xmlns:dcterms="http://purl.org/dc/terms/" xmlns:xsi="http://www.w3.org/2001/XMLSchema-instance" xsi:type="dcterms:W3CDTF">2026-07-21T01:35:47Z</dcterms:modified>
</cp:coreProperties>
</file>