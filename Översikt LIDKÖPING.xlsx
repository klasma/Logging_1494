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s="2" t="inlineStr">
        <is>
          <t>Gråtrut
Bivråk
Entita
Talltita
Västlig hakmossa
Spillkråka
Fiskgjuse
Gröngöling
Kungsfågel
Salskrake
Sångsvan
Vanlig padda</t>
        </is>
      </c>
      <c r="V2">
        <f>HYPERLINK("https://klasma.github.io/Logging_1494/artfynd/S 1387-2022 artfynd.xlsx", "S 1387-2022")</f>
        <v/>
      </c>
      <c r="W2">
        <f>HYPERLINK("https://klasma.github.io/Logging_1494/kartor/S 1387-2022 karta.png", "S 1387-2022")</f>
        <v/>
      </c>
      <c r="Y2">
        <f>HYPERLINK("https://klasma.github.io/Logging_1494/klagomål/S 1387-2022 FSC-klagomål.docx", "S 1387-2022")</f>
        <v/>
      </c>
      <c r="Z2">
        <f>HYPERLINK("https://klasma.github.io/Logging_1494/klagomålsmail/S 1387-2022 FSC-klagomål mail.docx", "S 1387-2022")</f>
        <v/>
      </c>
      <c r="AA2">
        <f>HYPERLINK("https://klasma.github.io/Logging_1494/tillsyn/S 1387-2022 tillsynsbegäran.docx", "S 1387-2022")</f>
        <v/>
      </c>
      <c r="AB2">
        <f>HYPERLINK("https://klasma.github.io/Logging_1494/tillsynsmail/S 1387-2022 tillsynsbegäran mail.docx", "S 1387-2022")</f>
        <v/>
      </c>
      <c r="AC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s="2" t="inlineStr">
        <is>
          <t>Gråtrut
Stare
Tofsvipa
Björktrast
Gråhakedopping
Kricka
Skrattmås
Kråka
Röd glada
Trana</t>
        </is>
      </c>
      <c r="V3">
        <f>HYPERLINK("https://klasma.github.io/Logging_1494/artfynd/A 62335-2025 artfynd.xlsx", "A 62335-2025")</f>
        <v/>
      </c>
      <c r="W3">
        <f>HYPERLINK("https://klasma.github.io/Logging_1494/kartor/A 62335-2025 karta.png", "A 62335-2025")</f>
        <v/>
      </c>
      <c r="Y3">
        <f>HYPERLINK("https://klasma.github.io/Logging_1494/klagomål/A 62335-2025 FSC-klagomål.docx", "A 62335-2025")</f>
        <v/>
      </c>
      <c r="Z3">
        <f>HYPERLINK("https://klasma.github.io/Logging_1494/klagomålsmail/A 62335-2025 FSC-klagomål mail.docx", "A 62335-2025")</f>
        <v/>
      </c>
      <c r="AA3">
        <f>HYPERLINK("https://klasma.github.io/Logging_1494/tillsyn/A 62335-2025 tillsynsbegäran.docx", "A 62335-2025")</f>
        <v/>
      </c>
      <c r="AB3">
        <f>HYPERLINK("https://klasma.github.io/Logging_1494/tillsynsmail/A 62335-2025 tillsynsbegäran mail.docx", "A 62335-2025")</f>
        <v/>
      </c>
      <c r="AC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s="2" t="inlineStr">
        <is>
          <t>Grönsångare
Göktyta
Älg
Buskskvätta
Röd glada</t>
        </is>
      </c>
      <c r="V4">
        <f>HYPERLINK("https://klasma.github.io/Logging_1494/artfynd/A 6898-2023 artfynd.xlsx", "A 6898-2023")</f>
        <v/>
      </c>
      <c r="W4">
        <f>HYPERLINK("https://klasma.github.io/Logging_1494/kartor/A 6898-2023 karta.png", "A 6898-2023")</f>
        <v/>
      </c>
      <c r="Y4">
        <f>HYPERLINK("https://klasma.github.io/Logging_1494/klagomål/A 6898-2023 FSC-klagomål.docx", "A 6898-2023")</f>
        <v/>
      </c>
      <c r="Z4">
        <f>HYPERLINK("https://klasma.github.io/Logging_1494/klagomålsmail/A 6898-2023 FSC-klagomål mail.docx", "A 6898-2023")</f>
        <v/>
      </c>
      <c r="AA4">
        <f>HYPERLINK("https://klasma.github.io/Logging_1494/tillsyn/A 6898-2023 tillsynsbegäran.docx", "A 6898-2023")</f>
        <v/>
      </c>
      <c r="AB4">
        <f>HYPERLINK("https://klasma.github.io/Logging_1494/tillsynsmail/A 6898-2023 tillsynsbegäran mail.docx", "A 6898-2023")</f>
        <v/>
      </c>
      <c r="AC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s="2" t="inlineStr">
        <is>
          <t>Knärot
Veckticka
Blodticka
Västlig hakmossa
Spillkråka</t>
        </is>
      </c>
      <c r="V5">
        <f>HYPERLINK("https://klasma.github.io/Logging_1494/artfynd/A 24727-2026 artfynd.xlsx", "A 24727-2026")</f>
        <v/>
      </c>
      <c r="W5">
        <f>HYPERLINK("https://klasma.github.io/Logging_1494/kartor/A 24727-2026 karta.png", "A 24727-2026")</f>
        <v/>
      </c>
      <c r="X5">
        <f>HYPERLINK("https://klasma.github.io/Logging_1494/knärot/A 24727-2026 karta knärot.png", "A 24727-2026")</f>
        <v/>
      </c>
      <c r="Y5">
        <f>HYPERLINK("https://klasma.github.io/Logging_1494/klagomål/A 24727-2026 FSC-klagomål.docx", "A 24727-2026")</f>
        <v/>
      </c>
      <c r="Z5">
        <f>HYPERLINK("https://klasma.github.io/Logging_1494/klagomålsmail/A 24727-2026 FSC-klagomål mail.docx", "A 24727-2026")</f>
        <v/>
      </c>
      <c r="AA5">
        <f>HYPERLINK("https://klasma.github.io/Logging_1494/tillsyn/A 24727-2026 tillsynsbegäran.docx", "A 24727-2026")</f>
        <v/>
      </c>
      <c r="AB5">
        <f>HYPERLINK("https://klasma.github.io/Logging_1494/tillsynsmail/A 24727-2026 tillsynsbegäran mail.docx", "A 24727-2026")</f>
        <v/>
      </c>
      <c r="AC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46220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Entita
Talltita
Grönsiska
Kungsfågel</t>
        </is>
      </c>
      <c r="V6">
        <f>HYPERLINK("https://klasma.github.io/Logging_1494/artfynd/A 28849-2024 artfynd.xlsx", "A 28849-2024")</f>
        <v/>
      </c>
      <c r="W6">
        <f>HYPERLINK("https://klasma.github.io/Logging_1494/kartor/A 28849-2024 karta.png", "A 28849-2024")</f>
        <v/>
      </c>
      <c r="Y6">
        <f>HYPERLINK("https://klasma.github.io/Logging_1494/klagomål/A 28849-2024 FSC-klagomål.docx", "A 28849-2024")</f>
        <v/>
      </c>
      <c r="Z6">
        <f>HYPERLINK("https://klasma.github.io/Logging_1494/klagomålsmail/A 28849-2024 FSC-klagomål mail.docx", "A 28849-2024")</f>
        <v/>
      </c>
      <c r="AA6">
        <f>HYPERLINK("https://klasma.github.io/Logging_1494/tillsyn/A 28849-2024 tillsynsbegäran.docx", "A 28849-2024")</f>
        <v/>
      </c>
      <c r="AB6">
        <f>HYPERLINK("https://klasma.github.io/Logging_1494/tillsynsmail/A 28849-2024 tillsynsbegäran mail.docx", "A 28849-2024")</f>
        <v/>
      </c>
      <c r="AC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46220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Gulsparv
Nötkråka
Sotriska
Skogsduva</t>
        </is>
      </c>
      <c r="V7">
        <f>HYPERLINK("https://klasma.github.io/Logging_1494/artfynd/A 32280-2022 artfynd.xlsx", "A 32280-2022")</f>
        <v/>
      </c>
      <c r="W7">
        <f>HYPERLINK("https://klasma.github.io/Logging_1494/kartor/A 32280-2022 karta.png", "A 32280-2022")</f>
        <v/>
      </c>
      <c r="Y7">
        <f>HYPERLINK("https://klasma.github.io/Logging_1494/klagomål/A 32280-2022 FSC-klagomål.docx", "A 32280-2022")</f>
        <v/>
      </c>
      <c r="Z7">
        <f>HYPERLINK("https://klasma.github.io/Logging_1494/klagomålsmail/A 32280-2022 FSC-klagomål mail.docx", "A 32280-2022")</f>
        <v/>
      </c>
      <c r="AA7">
        <f>HYPERLINK("https://klasma.github.io/Logging_1494/tillsyn/A 32280-2022 tillsynsbegäran.docx", "A 32280-2022")</f>
        <v/>
      </c>
      <c r="AB7">
        <f>HYPERLINK("https://klasma.github.io/Logging_1494/tillsynsmail/A 32280-2022 tillsynsbegäran mail.docx", "A 32280-2022")</f>
        <v/>
      </c>
      <c r="AC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46220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s="2" t="inlineStr">
        <is>
          <t>Ask
Skogsalm
Barkticka</t>
        </is>
      </c>
      <c r="V8">
        <f>HYPERLINK("https://klasma.github.io/Logging_1494/artfynd/A 4831-2025 artfynd.xlsx", "A 4831-2025")</f>
        <v/>
      </c>
      <c r="W8">
        <f>HYPERLINK("https://klasma.github.io/Logging_1494/kartor/A 4831-2025 karta.png", "A 4831-2025")</f>
        <v/>
      </c>
      <c r="Y8">
        <f>HYPERLINK("https://klasma.github.io/Logging_1494/klagomål/A 4831-2025 FSC-klagomål.docx", "A 4831-2025")</f>
        <v/>
      </c>
      <c r="Z8">
        <f>HYPERLINK("https://klasma.github.io/Logging_1494/klagomålsmail/A 4831-2025 FSC-klagomål mail.docx", "A 4831-2025")</f>
        <v/>
      </c>
      <c r="AA8">
        <f>HYPERLINK("https://klasma.github.io/Logging_1494/tillsyn/A 4831-2025 tillsynsbegäran.docx", "A 4831-2025")</f>
        <v/>
      </c>
      <c r="AB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46220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Tallticka
Tårkragskivling
Kungsfågel</t>
        </is>
      </c>
      <c r="V9">
        <f>HYPERLINK("https://klasma.github.io/Logging_1494/artfynd/A 15219-2024 artfynd.xlsx", "A 15219-2024")</f>
        <v/>
      </c>
      <c r="W9">
        <f>HYPERLINK("https://klasma.github.io/Logging_1494/kartor/A 15219-2024 karta.png", "A 15219-2024")</f>
        <v/>
      </c>
      <c r="Y9">
        <f>HYPERLINK("https://klasma.github.io/Logging_1494/klagomål/A 15219-2024 FSC-klagomål.docx", "A 15219-2024")</f>
        <v/>
      </c>
      <c r="Z9">
        <f>HYPERLINK("https://klasma.github.io/Logging_1494/klagomålsmail/A 15219-2024 FSC-klagomål mail.docx", "A 15219-2024")</f>
        <v/>
      </c>
      <c r="AA9">
        <f>HYPERLINK("https://klasma.github.io/Logging_1494/tillsyn/A 15219-2024 tillsynsbegäran.docx", "A 15219-2024")</f>
        <v/>
      </c>
      <c r="AB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46220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Spillkråka
Kråka
Kungsfågel</t>
        </is>
      </c>
      <c r="V10">
        <f>HYPERLINK("https://klasma.github.io/Logging_1494/artfynd/A 47321-2023 artfynd.xlsx", "A 47321-2023")</f>
        <v/>
      </c>
      <c r="W10">
        <f>HYPERLINK("https://klasma.github.io/Logging_1494/kartor/A 47321-2023 karta.png", "A 47321-2023")</f>
        <v/>
      </c>
      <c r="Y10">
        <f>HYPERLINK("https://klasma.github.io/Logging_1494/klagomål/A 47321-2023 FSC-klagomål.docx", "A 47321-2023")</f>
        <v/>
      </c>
      <c r="Z10">
        <f>HYPERLINK("https://klasma.github.io/Logging_1494/klagomålsmail/A 47321-2023 FSC-klagomål mail.docx", "A 47321-2023")</f>
        <v/>
      </c>
      <c r="AA10">
        <f>HYPERLINK("https://klasma.github.io/Logging_1494/tillsyn/A 47321-2023 tillsynsbegäran.docx", "A 47321-2023")</f>
        <v/>
      </c>
      <c r="AB10">
        <f>HYPERLINK("https://klasma.github.io/Logging_1494/tillsynsmail/A 47321-2023 tillsynsbegäran mail.docx", "A 47321-2023")</f>
        <v/>
      </c>
      <c r="AC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46220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Apelsinticka
Grovticka</t>
        </is>
      </c>
      <c r="V11">
        <f>HYPERLINK("https://klasma.github.io/Logging_1494/artfynd/A 41039-2025 artfynd.xlsx", "A 41039-2025")</f>
        <v/>
      </c>
      <c r="W11">
        <f>HYPERLINK("https://klasma.github.io/Logging_1494/kartor/A 41039-2025 karta.png", "A 41039-2025")</f>
        <v/>
      </c>
      <c r="Y11">
        <f>HYPERLINK("https://klasma.github.io/Logging_1494/klagomål/A 41039-2025 FSC-klagomål.docx", "A 41039-2025")</f>
        <v/>
      </c>
      <c r="Z11">
        <f>HYPERLINK("https://klasma.github.io/Logging_1494/klagomålsmail/A 41039-2025 FSC-klagomål mail.docx", "A 41039-2025")</f>
        <v/>
      </c>
      <c r="AA11">
        <f>HYPERLINK("https://klasma.github.io/Logging_1494/tillsyn/A 41039-2025 tillsynsbegäran.docx", "A 41039-2025")</f>
        <v/>
      </c>
      <c r="AB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46220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Västlig hakmossa</t>
        </is>
      </c>
      <c r="V12">
        <f>HYPERLINK("https://klasma.github.io/Logging_1494/artfynd/A 7261-2025 artfynd.xlsx", "A 7261-2025")</f>
        <v/>
      </c>
      <c r="W12">
        <f>HYPERLINK("https://klasma.github.io/Logging_1494/kartor/A 7261-2025 karta.png", "A 7261-2025")</f>
        <v/>
      </c>
      <c r="X12">
        <f>HYPERLINK("https://klasma.github.io/Logging_1494/knärot/A 7261-2025 karta knärot.png", "A 7261-2025")</f>
        <v/>
      </c>
      <c r="Y12">
        <f>HYPERLINK("https://klasma.github.io/Logging_1494/klagomål/A 7261-2025 FSC-klagomål.docx", "A 7261-2025")</f>
        <v/>
      </c>
      <c r="Z12">
        <f>HYPERLINK("https://klasma.github.io/Logging_1494/klagomålsmail/A 7261-2025 FSC-klagomål mail.docx", "A 7261-2025")</f>
        <v/>
      </c>
      <c r="AA12">
        <f>HYPERLINK("https://klasma.github.io/Logging_1494/tillsyn/A 7261-2025 tillsynsbegäran.docx", "A 7261-2025")</f>
        <v/>
      </c>
      <c r="AB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46220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Gulpudrad spiklav
Dvärgpipistrell</t>
        </is>
      </c>
      <c r="V13">
        <f>HYPERLINK("https://klasma.github.io/Logging_1494/artfynd/S 1354-2022 artfynd.xlsx", "S 1354-2022")</f>
        <v/>
      </c>
      <c r="W13">
        <f>HYPERLINK("https://klasma.github.io/Logging_1494/kartor/S 1354-2022 karta.png", "S 1354-2022")</f>
        <v/>
      </c>
      <c r="Y13">
        <f>HYPERLINK("https://klasma.github.io/Logging_1494/klagomål/S 1354-2022 FSC-klagomål.docx", "S 1354-2022")</f>
        <v/>
      </c>
      <c r="Z13">
        <f>HYPERLINK("https://klasma.github.io/Logging_1494/klagomålsmail/S 1354-2022 FSC-klagomål mail.docx", "S 1354-2022")</f>
        <v/>
      </c>
      <c r="AA13">
        <f>HYPERLINK("https://klasma.github.io/Logging_1494/tillsyn/S 1354-2022 tillsynsbegäran.docx", "S 1354-2022")</f>
        <v/>
      </c>
      <c r="AB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46220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HYPERLINK("https://klasma.github.io/Logging_1494/artfynd/A 10476-2023 artfynd.xlsx", "A 10476-2023")</f>
        <v/>
      </c>
      <c r="W14">
        <f>HYPERLINK("https://klasma.github.io/Logging_1494/kartor/A 10476-2023 karta.png", "A 10476-2023")</f>
        <v/>
      </c>
      <c r="Y14">
        <f>HYPERLINK("https://klasma.github.io/Logging_1494/klagomål/A 10476-2023 FSC-klagomål.docx", "A 10476-2023")</f>
        <v/>
      </c>
      <c r="Z14">
        <f>HYPERLINK("https://klasma.github.io/Logging_1494/klagomålsmail/A 10476-2023 FSC-klagomål mail.docx", "A 10476-2023")</f>
        <v/>
      </c>
      <c r="AA14">
        <f>HYPERLINK("https://klasma.github.io/Logging_1494/tillsyn/A 10476-2023 tillsynsbegäran.docx", "A 10476-2023")</f>
        <v/>
      </c>
      <c r="AB14">
        <f>HYPERLINK("https://klasma.github.io/Logging_1494/tillsynsmail/A 10476-2023 tillsynsbegäran mail.docx", "A 10476-2023")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46220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HYPERLINK("https://klasma.github.io/Logging_1494/artfynd/A 24352-2025 artfynd.xlsx", "A 24352-2025")</f>
        <v/>
      </c>
      <c r="W15">
        <f>HYPERLINK("https://klasma.github.io/Logging_1494/kartor/A 24352-2025 karta.png", "A 24352-2025")</f>
        <v/>
      </c>
      <c r="Y15">
        <f>HYPERLINK("https://klasma.github.io/Logging_1494/klagomål/A 24352-2025 FSC-klagomål.docx", "A 24352-2025")</f>
        <v/>
      </c>
      <c r="Z15">
        <f>HYPERLINK("https://klasma.github.io/Logging_1494/klagomålsmail/A 24352-2025 FSC-klagomål mail.docx", "A 24352-2025")</f>
        <v/>
      </c>
      <c r="AA15">
        <f>HYPERLINK("https://klasma.github.io/Logging_1494/tillsyn/A 24352-2025 tillsynsbegäran.docx", "A 24352-2025")</f>
        <v/>
      </c>
      <c r="AB15">
        <f>HYPERLINK("https://klasma.github.io/Logging_1494/tillsynsmail/A 24352-2025 tillsynsbegäran mail.docx", "A 24352-2025")</f>
        <v/>
      </c>
      <c r="AC15">
        <f>HYPERLINK("https://klasma.github.io/Logging_1494/fåglar/A 24352-2025 prioriterade fågelarter.docx", "A 24352-2025")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46220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Trädlärka</t>
        </is>
      </c>
      <c r="V16">
        <f>HYPERLINK("https://klasma.github.io/Logging_1494/artfynd/A 44680-2023 artfynd.xlsx", "A 44680-2023")</f>
        <v/>
      </c>
      <c r="W16">
        <f>HYPERLINK("https://klasma.github.io/Logging_1494/kartor/A 44680-2023 karta.png", "A 44680-2023")</f>
        <v/>
      </c>
      <c r="Y16">
        <f>HYPERLINK("https://klasma.github.io/Logging_1494/klagomål/A 44680-2023 FSC-klagomål.docx", "A 44680-2023")</f>
        <v/>
      </c>
      <c r="Z16">
        <f>HYPERLINK("https://klasma.github.io/Logging_1494/klagomålsmail/A 44680-2023 FSC-klagomål mail.docx", "A 44680-2023")</f>
        <v/>
      </c>
      <c r="AA16">
        <f>HYPERLINK("https://klasma.github.io/Logging_1494/tillsyn/A 44680-2023 tillsynsbegäran.docx", "A 44680-2023")</f>
        <v/>
      </c>
      <c r="AB16">
        <f>HYPERLINK("https://klasma.github.io/Logging_1494/tillsynsmail/A 44680-2023 tillsynsbegäran mail.docx", "A 44680-2023")</f>
        <v/>
      </c>
      <c r="AC16">
        <f>HYPERLINK("https://klasma.github.io/Logging_1494/fåglar/A 44680-2023 prioriterade fågelarter.docx", "A 44680-2023")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46220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HYPERLINK("https://klasma.github.io/Logging_1494/artfynd/A 62629-2022 artfynd.xlsx", "A 62629-2022")</f>
        <v/>
      </c>
      <c r="W17">
        <f>HYPERLINK("https://klasma.github.io/Logging_1494/kartor/A 62629-2022 karta.png", "A 62629-2022")</f>
        <v/>
      </c>
      <c r="Y17">
        <f>HYPERLINK("https://klasma.github.io/Logging_1494/klagomål/A 62629-2022 FSC-klagomål.docx", "A 62629-2022")</f>
        <v/>
      </c>
      <c r="Z17">
        <f>HYPERLINK("https://klasma.github.io/Logging_1494/klagomålsmail/A 62629-2022 FSC-klagomål mail.docx", "A 62629-2022")</f>
        <v/>
      </c>
      <c r="AA17">
        <f>HYPERLINK("https://klasma.github.io/Logging_1494/tillsyn/A 62629-2022 tillsynsbegäran.docx", "A 62629-2022")</f>
        <v/>
      </c>
      <c r="AB17">
        <f>HYPERLINK("https://klasma.github.io/Logging_1494/tillsynsmail/A 62629-2022 tillsynsbegäran mail.docx", "A 62629-2022")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46220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Rödvingetrast</t>
        </is>
      </c>
      <c r="V18">
        <f>HYPERLINK("https://klasma.github.io/Logging_1494/artfynd/A 61818-2024 artfynd.xlsx", "A 61818-2024")</f>
        <v/>
      </c>
      <c r="W18">
        <f>HYPERLINK("https://klasma.github.io/Logging_1494/kartor/A 61818-2024 karta.png", "A 61818-2024")</f>
        <v/>
      </c>
      <c r="Y18">
        <f>HYPERLINK("https://klasma.github.io/Logging_1494/klagomål/A 61818-2024 FSC-klagomål.docx", "A 61818-2024")</f>
        <v/>
      </c>
      <c r="Z18">
        <f>HYPERLINK("https://klasma.github.io/Logging_1494/klagomålsmail/A 61818-2024 FSC-klagomål mail.docx", "A 61818-2024")</f>
        <v/>
      </c>
      <c r="AA18">
        <f>HYPERLINK("https://klasma.github.io/Logging_1494/tillsyn/A 61818-2024 tillsynsbegäran.docx", "A 61818-2024")</f>
        <v/>
      </c>
      <c r="AB18">
        <f>HYPERLINK("https://klasma.github.io/Logging_1494/tillsynsmail/A 61818-2024 tillsynsbegäran mail.docx", "A 61818-2024")</f>
        <v/>
      </c>
      <c r="AC18">
        <f>HYPERLINK("https://klasma.github.io/Logging_1494/fåglar/A 61818-2024 prioriterade fågelarter.docx", "A 61818-2024")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46220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Skogsalm</t>
        </is>
      </c>
      <c r="V19">
        <f>HYPERLINK("https://klasma.github.io/Logging_1494/artfynd/A 62569-2022 artfynd.xlsx", "A 62569-2022")</f>
        <v/>
      </c>
      <c r="W19">
        <f>HYPERLINK("https://klasma.github.io/Logging_1494/kartor/A 62569-2022 karta.png", "A 62569-2022")</f>
        <v/>
      </c>
      <c r="Y19">
        <f>HYPERLINK("https://klasma.github.io/Logging_1494/klagomål/A 62569-2022 FSC-klagomål.docx", "A 62569-2022")</f>
        <v/>
      </c>
      <c r="Z19">
        <f>HYPERLINK("https://klasma.github.io/Logging_1494/klagomålsmail/A 62569-2022 FSC-klagomål mail.docx", "A 62569-2022")</f>
        <v/>
      </c>
      <c r="AA19">
        <f>HYPERLINK("https://klasma.github.io/Logging_1494/tillsyn/A 62569-2022 tillsynsbegäran.docx", "A 62569-2022")</f>
        <v/>
      </c>
      <c r="AB19">
        <f>HYPERLINK("https://klasma.github.io/Logging_1494/tillsynsmail/A 62569-2022 tillsynsbegäran mail.docx", "A 62569-2022")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46220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46220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46220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46220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46220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46220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46220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46220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46220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46220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46220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46220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46220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46220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46220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46220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46220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46220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46220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46220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46220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46220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46220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46220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46220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46220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46220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46220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46220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30399-2023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46220</v>
      </c>
      <c r="F49" t="inlineStr">
        <is>
          <t>VÄSTRA GÖTALANDS LÄN</t>
        </is>
      </c>
      <c r="G49" t="inlineStr">
        <is>
          <t>LIDKÖPING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24356-2025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46220</v>
      </c>
      <c r="F50" t="inlineStr">
        <is>
          <t>VÄSTRA GÖTALANDS LÄN</t>
        </is>
      </c>
      <c r="G50" t="inlineStr">
        <is>
          <t>LIDKÖPING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53275-2023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45229</v>
      </c>
      <c r="E51" s="1" t="n">
        <v>46220</v>
      </c>
      <c r="F51" t="inlineStr">
        <is>
          <t>VÄSTRA GÖTALANDS LÄN</t>
        </is>
      </c>
      <c r="G51" t="inlineStr">
        <is>
          <t>LIDKÖPING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48411-2022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44858</v>
      </c>
      <c r="E52" s="1" t="n">
        <v>46220</v>
      </c>
      <c r="F52" t="inlineStr">
        <is>
          <t>VÄSTRA GÖTALANDS LÄN</t>
        </is>
      </c>
      <c r="G52" t="inlineStr">
        <is>
          <t>LIDKÖPING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45572</v>
      </c>
      <c r="E53" s="1" t="n">
        <v>46220</v>
      </c>
      <c r="F53" t="inlineStr">
        <is>
          <t>VÄSTRA GÖTALANDS LÄN</t>
        </is>
      </c>
      <c r="G53" t="inlineStr">
        <is>
          <t>LIDKÖPING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11563-2025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45727</v>
      </c>
      <c r="E54" s="1" t="n">
        <v>46220</v>
      </c>
      <c r="F54" t="inlineStr">
        <is>
          <t>VÄSTRA GÖTALANDS LÄN</t>
        </is>
      </c>
      <c r="G54" t="inlineStr">
        <is>
          <t>LIDKÖPING</t>
        </is>
      </c>
      <c r="H54" t="inlineStr">
        <is>
          <t>Kommuner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19840-2025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45771</v>
      </c>
      <c r="E55" s="1" t="n">
        <v>46220</v>
      </c>
      <c r="F55" t="inlineStr">
        <is>
          <t>VÄSTRA GÖTALANDS LÄN</t>
        </is>
      </c>
      <c r="G55" t="inlineStr">
        <is>
          <t>LIDKÖPING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11795-2024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45375</v>
      </c>
      <c r="E56" s="1" t="n">
        <v>46220</v>
      </c>
      <c r="F56" t="inlineStr">
        <is>
          <t>VÄSTRA GÖTALANDS LÄN</t>
        </is>
      </c>
      <c r="G56" t="inlineStr">
        <is>
          <t>LIDKÖPING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58420-2023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45250</v>
      </c>
      <c r="E57" s="1" t="n">
        <v>46220</v>
      </c>
      <c r="F57" t="inlineStr">
        <is>
          <t>VÄSTRA GÖTALANDS LÄN</t>
        </is>
      </c>
      <c r="G57" t="inlineStr">
        <is>
          <t>LIDKÖPING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55974-2024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45623</v>
      </c>
      <c r="E58" s="1" t="n">
        <v>46220</v>
      </c>
      <c r="F58" t="inlineStr">
        <is>
          <t>VÄSTRA GÖTALANDS LÄN</t>
        </is>
      </c>
      <c r="G58" t="inlineStr">
        <is>
          <t>LIDKÖPING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48346-2024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45590</v>
      </c>
      <c r="E59" s="1" t="n">
        <v>46220</v>
      </c>
      <c r="F59" t="inlineStr">
        <is>
          <t>VÄSTRA GÖTALANDS LÄN</t>
        </is>
      </c>
      <c r="G59" t="inlineStr">
        <is>
          <t>LIDKÖPING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46220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17892-2025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46220</v>
      </c>
      <c r="F61" t="inlineStr">
        <is>
          <t>VÄSTRA GÖTALANDS LÄN</t>
        </is>
      </c>
      <c r="G61" t="inlineStr">
        <is>
          <t>LIDKÖPING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39800-2022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44819</v>
      </c>
      <c r="E62" s="1" t="n">
        <v>46220</v>
      </c>
      <c r="F62" t="inlineStr">
        <is>
          <t>VÄSTRA GÖTALANDS LÄN</t>
        </is>
      </c>
      <c r="G62" t="inlineStr">
        <is>
          <t>LIDKÖPING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49755-2022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46220</v>
      </c>
      <c r="F63" t="inlineStr">
        <is>
          <t>VÄSTRA GÖTALANDS LÄN</t>
        </is>
      </c>
      <c r="G63" t="inlineStr">
        <is>
          <t>LIDKÖPING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63778-2023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45278</v>
      </c>
      <c r="E64" s="1" t="n">
        <v>46220</v>
      </c>
      <c r="F64" t="inlineStr">
        <is>
          <t>VÄSTRA GÖTALANDS LÄN</t>
        </is>
      </c>
      <c r="G64" t="inlineStr">
        <is>
          <t>LIDKÖPING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53279-2023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46220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29495-2025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46220</v>
      </c>
      <c r="F66" t="inlineStr">
        <is>
          <t>VÄSTRA GÖTALANDS LÄN</t>
        </is>
      </c>
      <c r="G66" t="inlineStr">
        <is>
          <t>LIDKÖPING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44928</v>
      </c>
      <c r="E67" s="1" t="n">
        <v>46220</v>
      </c>
      <c r="F67" t="inlineStr">
        <is>
          <t>VÄSTRA GÖTALANDS LÄN</t>
        </is>
      </c>
      <c r="G67" t="inlineStr">
        <is>
          <t>LIDKÖPING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58620-2022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44902</v>
      </c>
      <c r="E68" s="1" t="n">
        <v>46220</v>
      </c>
      <c r="F68" t="inlineStr">
        <is>
          <t>VÄSTRA GÖTALANDS LÄN</t>
        </is>
      </c>
      <c r="G68" t="inlineStr">
        <is>
          <t>LIDKÖPING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45670</v>
      </c>
      <c r="E69" s="1" t="n">
        <v>46220</v>
      </c>
      <c r="F69" t="inlineStr">
        <is>
          <t>VÄSTRA GÖTALANDS LÄN</t>
        </is>
      </c>
      <c r="G69" t="inlineStr">
        <is>
          <t>LIDKÖPING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37169-2022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46220</v>
      </c>
      <c r="F70" t="inlineStr">
        <is>
          <t>VÄSTRA GÖTALANDS LÄN</t>
        </is>
      </c>
      <c r="G70" t="inlineStr">
        <is>
          <t>LIDKÖPING</t>
        </is>
      </c>
      <c r="I70" t="n">
        <v>17.4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31844-2025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46220</v>
      </c>
      <c r="F71" t="inlineStr">
        <is>
          <t>VÄSTRA GÖTALANDS LÄN</t>
        </is>
      </c>
      <c r="G71" t="inlineStr">
        <is>
          <t>LIDKÖPING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31825-2025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46220</v>
      </c>
      <c r="F72" t="inlineStr">
        <is>
          <t>VÄSTRA GÖTALANDS LÄN</t>
        </is>
      </c>
      <c r="G72" t="inlineStr">
        <is>
          <t>LIDKÖPING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7223-2025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46220</v>
      </c>
      <c r="F73" t="inlineStr">
        <is>
          <t>VÄSTRA GÖTALANDS LÄN</t>
        </is>
      </c>
      <c r="G73" t="inlineStr">
        <is>
          <t>LIDKÖPING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32355-2025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45837</v>
      </c>
      <c r="E74" s="1" t="n">
        <v>46220</v>
      </c>
      <c r="F74" t="inlineStr">
        <is>
          <t>VÄSTRA GÖTALANDS LÄN</t>
        </is>
      </c>
      <c r="G74" t="inlineStr">
        <is>
          <t>LIDKÖPING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59069-2023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45252</v>
      </c>
      <c r="E75" s="1" t="n">
        <v>46220</v>
      </c>
      <c r="F75" t="inlineStr">
        <is>
          <t>VÄSTRA GÖTALANDS LÄN</t>
        </is>
      </c>
      <c r="G75" t="inlineStr">
        <is>
          <t>LIDKÖPING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59068-2023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45252</v>
      </c>
      <c r="E76" s="1" t="n">
        <v>46220</v>
      </c>
      <c r="F76" t="inlineStr">
        <is>
          <t>VÄSTRA GÖTALANDS LÄN</t>
        </is>
      </c>
      <c r="G76" t="inlineStr">
        <is>
          <t>LIDKÖPING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46220</v>
      </c>
      <c r="F77" t="inlineStr">
        <is>
          <t>VÄSTRA GÖTALANDS LÄN</t>
        </is>
      </c>
      <c r="G77" t="inlineStr">
        <is>
          <t>LIDKÖPING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7248-2025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45702</v>
      </c>
      <c r="E78" s="1" t="n">
        <v>46220</v>
      </c>
      <c r="F78" t="inlineStr">
        <is>
          <t>VÄSTRA GÖTALANDS LÄN</t>
        </is>
      </c>
      <c r="G78" t="inlineStr">
        <is>
          <t>LIDKÖPING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45601</v>
      </c>
      <c r="E79" s="1" t="n">
        <v>46220</v>
      </c>
      <c r="F79" t="inlineStr">
        <is>
          <t>VÄSTRA GÖTALANDS LÄN</t>
        </is>
      </c>
      <c r="G79" t="inlineStr">
        <is>
          <t>LIDKÖPING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25762-2023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45090</v>
      </c>
      <c r="E80" s="1" t="n">
        <v>46220</v>
      </c>
      <c r="F80" t="inlineStr">
        <is>
          <t>VÄSTRA GÖTALANDS LÄN</t>
        </is>
      </c>
      <c r="G80" t="inlineStr">
        <is>
          <t>LIDKÖPING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12819-2022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44642</v>
      </c>
      <c r="E81" s="1" t="n">
        <v>46220</v>
      </c>
      <c r="F81" t="inlineStr">
        <is>
          <t>VÄSTRA GÖTALANDS LÄN</t>
        </is>
      </c>
      <c r="G81" t="inlineStr">
        <is>
          <t>LIDKÖPING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36208-2025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45867</v>
      </c>
      <c r="E82" s="1" t="n">
        <v>46220</v>
      </c>
      <c r="F82" t="inlineStr">
        <is>
          <t>VÄSTRA GÖTALANDS LÄN</t>
        </is>
      </c>
      <c r="G82" t="inlineStr">
        <is>
          <t>LIDKÖPING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32952-2023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46220</v>
      </c>
      <c r="F83" t="inlineStr">
        <is>
          <t>VÄSTRA GÖTALANDS LÄN</t>
        </is>
      </c>
      <c r="G83" t="inlineStr">
        <is>
          <t>LIDKÖPING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37195-2025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45875</v>
      </c>
      <c r="E84" s="1" t="n">
        <v>46220</v>
      </c>
      <c r="F84" t="inlineStr">
        <is>
          <t>VÄSTRA GÖTALANDS LÄN</t>
        </is>
      </c>
      <c r="G84" t="inlineStr">
        <is>
          <t>LIDKÖPING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49906-2025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46220</v>
      </c>
      <c r="F85" t="inlineStr">
        <is>
          <t>VÄSTRA GÖTALANDS LÄN</t>
        </is>
      </c>
      <c r="G85" t="inlineStr">
        <is>
          <t>LIDKÖPING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49909-2025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46220</v>
      </c>
      <c r="F86" t="inlineStr">
        <is>
          <t>VÄSTRA GÖTALANDS LÄN</t>
        </is>
      </c>
      <c r="G86" t="inlineStr">
        <is>
          <t>LIDKÖPING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43445-2023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46220</v>
      </c>
      <c r="F87" t="inlineStr">
        <is>
          <t>VÄSTRA GÖTALANDS LÄN</t>
        </is>
      </c>
      <c r="G87" t="inlineStr">
        <is>
          <t>LIDKÖPING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37098-2023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46220</v>
      </c>
      <c r="F88" t="inlineStr">
        <is>
          <t>VÄSTRA GÖTALANDS LÄN</t>
        </is>
      </c>
      <c r="G88" t="inlineStr">
        <is>
          <t>LIDKÖPING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52719-2025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46220</v>
      </c>
      <c r="F89" t="inlineStr">
        <is>
          <t>VÄSTRA GÖTALANDS LÄN</t>
        </is>
      </c>
      <c r="G89" t="inlineStr">
        <is>
          <t>LIDKÖPING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52640-2025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46220</v>
      </c>
      <c r="F90" t="inlineStr">
        <is>
          <t>VÄSTRA GÖTALANDS LÄN</t>
        </is>
      </c>
      <c r="G90" t="inlineStr">
        <is>
          <t>LIDKÖPING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5514-2026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46050</v>
      </c>
      <c r="E91" s="1" t="n">
        <v>46220</v>
      </c>
      <c r="F91" t="inlineStr">
        <is>
          <t>VÄSTRA GÖTALANDS LÄN</t>
        </is>
      </c>
      <c r="G91" t="inlineStr">
        <is>
          <t>LIDKÖPING</t>
        </is>
      </c>
      <c r="H91" t="inlineStr">
        <is>
          <t>Kyrkan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53275-2025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46220</v>
      </c>
      <c r="F92" t="inlineStr">
        <is>
          <t>VÄSTRA GÖTALANDS LÄN</t>
        </is>
      </c>
      <c r="G92" t="inlineStr">
        <is>
          <t>LIDKÖPING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53274-2025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46220</v>
      </c>
      <c r="F93" t="inlineStr">
        <is>
          <t>VÄSTRA GÖTALANDS LÄN</t>
        </is>
      </c>
      <c r="G93" t="inlineStr">
        <is>
          <t>LIDKÖPING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46220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61312-2023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46220</v>
      </c>
      <c r="F95" t="inlineStr">
        <is>
          <t>VÄSTRA GÖTALANDS LÄN</t>
        </is>
      </c>
      <c r="G95" t="inlineStr">
        <is>
          <t>LIDKÖPING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30904-2022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44767</v>
      </c>
      <c r="E96" s="1" t="n">
        <v>46220</v>
      </c>
      <c r="F96" t="inlineStr">
        <is>
          <t>VÄSTRA GÖTALANDS LÄN</t>
        </is>
      </c>
      <c r="G96" t="inlineStr">
        <is>
          <t>LIDKÖPING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7592-2026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46061</v>
      </c>
      <c r="E97" s="1" t="n">
        <v>46220</v>
      </c>
      <c r="F97" t="inlineStr">
        <is>
          <t>VÄSTRA GÖTALANDS LÄN</t>
        </is>
      </c>
      <c r="G97" t="inlineStr">
        <is>
          <t>LIDKÖPING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12175-2023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44998</v>
      </c>
      <c r="E98" s="1" t="n">
        <v>46220</v>
      </c>
      <c r="F98" t="inlineStr">
        <is>
          <t>VÄSTRA GÖTALANDS LÄN</t>
        </is>
      </c>
      <c r="G98" t="inlineStr">
        <is>
          <t>LIDKÖPING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8953-2023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46220</v>
      </c>
      <c r="F99" t="inlineStr">
        <is>
          <t>VÄSTRA GÖTALANDS LÄN</t>
        </is>
      </c>
      <c r="G99" t="inlineStr">
        <is>
          <t>LIDKÖPING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59155-2025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46220</v>
      </c>
      <c r="F100" t="inlineStr">
        <is>
          <t>VÄSTRA GÖTALANDS LÄN</t>
        </is>
      </c>
      <c r="G100" t="inlineStr">
        <is>
          <t>LIDKÖPING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45660</v>
      </c>
      <c r="E101" s="1" t="n">
        <v>46220</v>
      </c>
      <c r="F101" t="inlineStr">
        <is>
          <t>VÄSTRA GÖTALANDS LÄN</t>
        </is>
      </c>
      <c r="G101" t="inlineStr">
        <is>
          <t>LIDKÖPING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9738-2026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46072</v>
      </c>
      <c r="E102" s="1" t="n">
        <v>46220</v>
      </c>
      <c r="F102" t="inlineStr">
        <is>
          <t>VÄSTRA GÖTALANDS LÄN</t>
        </is>
      </c>
      <c r="G102" t="inlineStr">
        <is>
          <t>LIDKÖPING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7760-2025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46220</v>
      </c>
      <c r="F103" t="inlineStr">
        <is>
          <t>VÄSTRA GÖTALANDS LÄN</t>
        </is>
      </c>
      <c r="G103" t="inlineStr">
        <is>
          <t>LIDKÖPING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46220</v>
      </c>
      <c r="F104" t="inlineStr">
        <is>
          <t>VÄSTRA GÖTALANDS LÄN</t>
        </is>
      </c>
      <c r="G104" t="inlineStr">
        <is>
          <t>LIDKÖPING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62527-2021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46220</v>
      </c>
      <c r="F105" t="inlineStr">
        <is>
          <t>VÄSTRA GÖTALANDS LÄN</t>
        </is>
      </c>
      <c r="G105" t="inlineStr">
        <is>
          <t>LIDKÖPING</t>
        </is>
      </c>
      <c r="I105" t="n">
        <v>22.6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60290-2024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46220</v>
      </c>
      <c r="F106" t="inlineStr">
        <is>
          <t>VÄSTRA GÖTALANDS LÄN</t>
        </is>
      </c>
      <c r="G106" t="inlineStr">
        <is>
          <t>LIDKÖPING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35112-2024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45529</v>
      </c>
      <c r="E107" s="1" t="n">
        <v>46220</v>
      </c>
      <c r="F107" t="inlineStr">
        <is>
          <t>VÄSTRA GÖTALANDS LÄN</t>
        </is>
      </c>
      <c r="G107" t="inlineStr">
        <is>
          <t>LIDKÖPING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19759-2024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45432</v>
      </c>
      <c r="E108" s="1" t="n">
        <v>46220</v>
      </c>
      <c r="F108" t="inlineStr">
        <is>
          <t>VÄSTRA GÖTALANDS LÄN</t>
        </is>
      </c>
      <c r="G108" t="inlineStr">
        <is>
          <t>LIDKÖPING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56413-2024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45623</v>
      </c>
      <c r="E109" s="1" t="n">
        <v>46220</v>
      </c>
      <c r="F109" t="inlineStr">
        <is>
          <t>VÄSTRA GÖTALANDS LÄN</t>
        </is>
      </c>
      <c r="G109" t="inlineStr">
        <is>
          <t>LIDKÖPING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46220</v>
      </c>
      <c r="F110" t="inlineStr">
        <is>
          <t>VÄSTRA GÖTALANDS LÄN</t>
        </is>
      </c>
      <c r="G110" t="inlineStr">
        <is>
          <t>LIDKÖPING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46220</v>
      </c>
      <c r="F111" t="inlineStr">
        <is>
          <t>VÄSTRA GÖTALANDS LÄN</t>
        </is>
      </c>
      <c r="G111" t="inlineStr">
        <is>
          <t>LIDKÖPING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34779-2023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46220</v>
      </c>
      <c r="F112" t="inlineStr">
        <is>
          <t>VÄSTRA GÖTALANDS LÄN</t>
        </is>
      </c>
      <c r="G112" t="inlineStr">
        <is>
          <t>LIDKÖPING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36835-2024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45538</v>
      </c>
      <c r="E113" s="1" t="n">
        <v>46220</v>
      </c>
      <c r="F113" t="inlineStr">
        <is>
          <t>VÄSTRA GÖTALANDS LÄN</t>
        </is>
      </c>
      <c r="G113" t="inlineStr">
        <is>
          <t>LIDKÖPING</t>
        </is>
      </c>
      <c r="H113" t="inlineStr">
        <is>
          <t>Kommuner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14536-2026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46220</v>
      </c>
      <c r="F114" t="inlineStr">
        <is>
          <t>VÄSTRA GÖTALANDS LÄN</t>
        </is>
      </c>
      <c r="G114" t="inlineStr">
        <is>
          <t>LIDKÖPING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58393-2022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44901</v>
      </c>
      <c r="E115" s="1" t="n">
        <v>46220</v>
      </c>
      <c r="F115" t="inlineStr">
        <is>
          <t>VÄSTRA GÖTALANDS LÄN</t>
        </is>
      </c>
      <c r="G115" t="inlineStr">
        <is>
          <t>LIDKÖPING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44945</v>
      </c>
      <c r="E116" s="1" t="n">
        <v>46220</v>
      </c>
      <c r="F116" t="inlineStr">
        <is>
          <t>VÄSTRA GÖTALANDS LÄN</t>
        </is>
      </c>
      <c r="G116" t="inlineStr">
        <is>
          <t>LIDKÖPING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11949-2023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44994</v>
      </c>
      <c r="E117" s="1" t="n">
        <v>46220</v>
      </c>
      <c r="F117" t="inlineStr">
        <is>
          <t>VÄSTRA GÖTALANDS LÄN</t>
        </is>
      </c>
      <c r="G117" t="inlineStr">
        <is>
          <t>LIDKÖPING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54582-2023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45233</v>
      </c>
      <c r="E118" s="1" t="n">
        <v>46220</v>
      </c>
      <c r="F118" t="inlineStr">
        <is>
          <t>VÄSTRA GÖTALANDS LÄN</t>
        </is>
      </c>
      <c r="G118" t="inlineStr">
        <is>
          <t>LIDKÖPING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54279-2023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45232</v>
      </c>
      <c r="E119" s="1" t="n">
        <v>46220</v>
      </c>
      <c r="F119" t="inlineStr">
        <is>
          <t>VÄSTRA GÖTALANDS LÄN</t>
        </is>
      </c>
      <c r="G119" t="inlineStr">
        <is>
          <t>LIDKÖPING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17533-2026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46120</v>
      </c>
      <c r="E120" s="1" t="n">
        <v>46220</v>
      </c>
      <c r="F120" t="inlineStr">
        <is>
          <t>VÄSTRA GÖTALANDS LÄN</t>
        </is>
      </c>
      <c r="G120" t="inlineStr">
        <is>
          <t>LIDKÖPING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17527-2026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46119</v>
      </c>
      <c r="E121" s="1" t="n">
        <v>46220</v>
      </c>
      <c r="F121" t="inlineStr">
        <is>
          <t>VÄSTRA GÖTALANDS LÄN</t>
        </is>
      </c>
      <c r="G121" t="inlineStr">
        <is>
          <t>LIDKÖPING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17495-2026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46120</v>
      </c>
      <c r="E122" s="1" t="n">
        <v>46220</v>
      </c>
      <c r="F122" t="inlineStr">
        <is>
          <t>VÄSTRA GÖTALANDS LÄN</t>
        </is>
      </c>
      <c r="G122" t="inlineStr">
        <is>
          <t>LIDKÖPING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17524-2026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46220</v>
      </c>
      <c r="F123" t="inlineStr">
        <is>
          <t>VÄSTRA GÖTALANDS LÄN</t>
        </is>
      </c>
      <c r="G123" t="inlineStr">
        <is>
          <t>LIDKÖPING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36816-2024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45538</v>
      </c>
      <c r="E124" s="1" t="n">
        <v>46220</v>
      </c>
      <c r="F124" t="inlineStr">
        <is>
          <t>VÄSTRA GÖTALANDS LÄN</t>
        </is>
      </c>
      <c r="G124" t="inlineStr">
        <is>
          <t>LIDKÖPING</t>
        </is>
      </c>
      <c r="H124" t="inlineStr">
        <is>
          <t>Kommuner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17958-2026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46122</v>
      </c>
      <c r="E125" s="1" t="n">
        <v>46220</v>
      </c>
      <c r="F125" t="inlineStr">
        <is>
          <t>VÄSTRA GÖTALANDS LÄN</t>
        </is>
      </c>
      <c r="G125" t="inlineStr">
        <is>
          <t>LIDKÖPING</t>
        </is>
      </c>
      <c r="H125" t="inlineStr">
        <is>
          <t>Kommuner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55984-2024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46220</v>
      </c>
      <c r="F126" t="inlineStr">
        <is>
          <t>VÄSTRA GÖTALANDS LÄN</t>
        </is>
      </c>
      <c r="G126" t="inlineStr">
        <is>
          <t>LIDKÖPING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35047-2024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45527</v>
      </c>
      <c r="E127" s="1" t="n">
        <v>46220</v>
      </c>
      <c r="F127" t="inlineStr">
        <is>
          <t>VÄSTRA GÖTALANDS LÄN</t>
        </is>
      </c>
      <c r="G127" t="inlineStr">
        <is>
          <t>LIDKÖPING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25322-2024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45462</v>
      </c>
      <c r="E128" s="1" t="n">
        <v>46220</v>
      </c>
      <c r="F128" t="inlineStr">
        <is>
          <t>VÄSTRA GÖTALANDS LÄN</t>
        </is>
      </c>
      <c r="G128" t="inlineStr">
        <is>
          <t>LIDKÖPING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18834-2026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46129</v>
      </c>
      <c r="E129" s="1" t="n">
        <v>46220</v>
      </c>
      <c r="F129" t="inlineStr">
        <is>
          <t>VÄSTRA GÖTALANDS LÄN</t>
        </is>
      </c>
      <c r="G129" t="inlineStr">
        <is>
          <t>LIDKÖPING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18979-2026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46220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45506</v>
      </c>
      <c r="E131" s="1" t="n">
        <v>46220</v>
      </c>
      <c r="F131" t="inlineStr">
        <is>
          <t>VÄSTRA GÖTALANDS LÄN</t>
        </is>
      </c>
      <c r="G131" t="inlineStr">
        <is>
          <t>LIDKÖPING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46220</v>
      </c>
      <c r="F132" t="inlineStr">
        <is>
          <t>VÄSTRA GÖTALANDS LÄN</t>
        </is>
      </c>
      <c r="G132" t="inlineStr">
        <is>
          <t>LIDKÖPING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49997-2025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45943</v>
      </c>
      <c r="E133" s="1" t="n">
        <v>46220</v>
      </c>
      <c r="F133" t="inlineStr">
        <is>
          <t>VÄSTRA GÖTALANDS LÄN</t>
        </is>
      </c>
      <c r="G133" t="inlineStr">
        <is>
          <t>LIDKÖPING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15374-2025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46220</v>
      </c>
      <c r="F134" t="inlineStr">
        <is>
          <t>VÄSTRA GÖTALANDS LÄN</t>
        </is>
      </c>
      <c r="G134" t="inlineStr">
        <is>
          <t>LIDKÖPING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53273-2023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45229</v>
      </c>
      <c r="E135" s="1" t="n">
        <v>46220</v>
      </c>
      <c r="F135" t="inlineStr">
        <is>
          <t>VÄSTRA GÖTALANDS LÄN</t>
        </is>
      </c>
      <c r="G135" t="inlineStr">
        <is>
          <t>LIDKÖPING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6913-2023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46220</v>
      </c>
      <c r="F136" t="inlineStr">
        <is>
          <t>VÄSTRA GÖTALANDS LÄN</t>
        </is>
      </c>
      <c r="G136" t="inlineStr">
        <is>
          <t>LIDKÖPING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24759-2023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46220</v>
      </c>
      <c r="F137" t="inlineStr">
        <is>
          <t>VÄSTRA GÖTALANDS LÄN</t>
        </is>
      </c>
      <c r="G137" t="inlineStr">
        <is>
          <t>LIDKÖPING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41937-2025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46220</v>
      </c>
      <c r="F138" t="inlineStr">
        <is>
          <t>VÄSTRA GÖTALANDS LÄN</t>
        </is>
      </c>
      <c r="G138" t="inlineStr">
        <is>
          <t>LIDKÖPING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25814-2026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46220</v>
      </c>
      <c r="F139" t="inlineStr">
        <is>
          <t>VÄSTRA GÖTALANDS LÄN</t>
        </is>
      </c>
      <c r="G139" t="inlineStr">
        <is>
          <t>LIDKÖPING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52853-2023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46220</v>
      </c>
      <c r="F140" t="inlineStr">
        <is>
          <t>VÄSTRA GÖTALANDS LÄN</t>
        </is>
      </c>
      <c r="G140" t="inlineStr">
        <is>
          <t>LIDKÖPING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26148-2026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46220</v>
      </c>
      <c r="F141" t="inlineStr">
        <is>
          <t>VÄSTRA GÖTALANDS LÄN</t>
        </is>
      </c>
      <c r="G141" t="inlineStr">
        <is>
          <t>LIDKÖPING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7212-2025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46220</v>
      </c>
      <c r="F142" t="inlineStr">
        <is>
          <t>VÄSTRA GÖTALANDS LÄN</t>
        </is>
      </c>
      <c r="G142" t="inlineStr">
        <is>
          <t>LIDKÖPING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32395-2023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45120</v>
      </c>
      <c r="E143" s="1" t="n">
        <v>46220</v>
      </c>
      <c r="F143" t="inlineStr">
        <is>
          <t>VÄSTRA GÖTALANDS LÄN</t>
        </is>
      </c>
      <c r="G143" t="inlineStr">
        <is>
          <t>LIDKÖPING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20614-2025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46220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6080-2023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44964</v>
      </c>
      <c r="E145" s="1" t="n">
        <v>46220</v>
      </c>
      <c r="F145" t="inlineStr">
        <is>
          <t>VÄSTRA GÖTALANDS LÄN</t>
        </is>
      </c>
      <c r="G145" t="inlineStr">
        <is>
          <t>LIDKÖPING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35202-2023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46220</v>
      </c>
      <c r="F146" t="inlineStr">
        <is>
          <t>VÄSTRA GÖTALANDS LÄN</t>
        </is>
      </c>
      <c r="G146" t="inlineStr">
        <is>
          <t>LIDKÖPING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46220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45679</v>
      </c>
      <c r="E148" s="1" t="n">
        <v>46220</v>
      </c>
      <c r="F148" t="inlineStr">
        <is>
          <t>VÄSTRA GÖTALANDS LÄN</t>
        </is>
      </c>
      <c r="G148" t="inlineStr">
        <is>
          <t>LIDKÖPING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46220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30484-2023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46220</v>
      </c>
      <c r="F150" t="inlineStr">
        <is>
          <t>VÄSTRA GÖTALANDS LÄN</t>
        </is>
      </c>
      <c r="G150" t="inlineStr">
        <is>
          <t>LIDKÖPING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8950-2024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45357</v>
      </c>
      <c r="E151" s="1" t="n">
        <v>46220</v>
      </c>
      <c r="F151" t="inlineStr">
        <is>
          <t>VÄSTRA GÖTALANDS LÄN</t>
        </is>
      </c>
      <c r="G151" t="inlineStr">
        <is>
          <t>LIDKÖPING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46876-2022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46220</v>
      </c>
      <c r="F152" t="inlineStr">
        <is>
          <t>VÄSTRA GÖTALANDS LÄN</t>
        </is>
      </c>
      <c r="G152" t="inlineStr">
        <is>
          <t>LIDKÖPING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13522-2023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45006</v>
      </c>
      <c r="E153" s="1" t="n">
        <v>46220</v>
      </c>
      <c r="F153" t="inlineStr">
        <is>
          <t>VÄSTRA GÖTALANDS LÄN</t>
        </is>
      </c>
      <c r="G153" t="inlineStr">
        <is>
          <t>LIDKÖPING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56419-2024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45623</v>
      </c>
      <c r="E154" s="1" t="n">
        <v>46220</v>
      </c>
      <c r="F154" t="inlineStr">
        <is>
          <t>VÄSTRA GÖTALANDS LÄN</t>
        </is>
      </c>
      <c r="G154" t="inlineStr">
        <is>
          <t>LIDKÖPING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8626-2024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46220</v>
      </c>
      <c r="F155" t="inlineStr">
        <is>
          <t>VÄSTRA GÖTALANDS LÄN</t>
        </is>
      </c>
      <c r="G155" t="inlineStr">
        <is>
          <t>LIDKÖPING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60112-2024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46220</v>
      </c>
      <c r="F156" t="inlineStr">
        <is>
          <t>VÄSTRA GÖTALANDS LÄN</t>
        </is>
      </c>
      <c r="G156" t="inlineStr">
        <is>
          <t>LIDKÖPING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31605-2024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45506</v>
      </c>
      <c r="E157" s="1" t="n">
        <v>46220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Kommuner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60118-2024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46220</v>
      </c>
      <c r="F158" t="inlineStr">
        <is>
          <t>VÄSTRA GÖTALANDS LÄN</t>
        </is>
      </c>
      <c r="G158" t="inlineStr">
        <is>
          <t>LIDKÖPING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62551-2021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46220</v>
      </c>
      <c r="F159" t="inlineStr">
        <is>
          <t>VÄSTRA GÖTALANDS LÄN</t>
        </is>
      </c>
      <c r="G159" t="inlineStr">
        <is>
          <t>LIDKÖPING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21017-2026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46144</v>
      </c>
      <c r="E160" s="1" t="n">
        <v>46220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56542-2024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45625</v>
      </c>
      <c r="E161" s="1" t="n">
        <v>46220</v>
      </c>
      <c r="F161" t="inlineStr">
        <is>
          <t>VÄSTRA GÖTALANDS LÄN</t>
        </is>
      </c>
      <c r="G161" t="inlineStr">
        <is>
          <t>LIDKÖPING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53814-2024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46220</v>
      </c>
      <c r="F162" t="inlineStr">
        <is>
          <t>VÄSTRA GÖTALANDS LÄN</t>
        </is>
      </c>
      <c r="G162" t="inlineStr">
        <is>
          <t>LIDKÖPING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27552-2026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46190</v>
      </c>
      <c r="E163" s="1" t="n">
        <v>46220</v>
      </c>
      <c r="F163" t="inlineStr">
        <is>
          <t>VÄSTRA GÖTALANDS LÄN</t>
        </is>
      </c>
      <c r="G163" t="inlineStr">
        <is>
          <t>LIDKÖPING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10524-2024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45366</v>
      </c>
      <c r="E164" s="1" t="n">
        <v>46220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9422-2024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46220</v>
      </c>
      <c r="F165" t="inlineStr">
        <is>
          <t>VÄSTRA GÖTALANDS LÄN</t>
        </is>
      </c>
      <c r="G165" t="inlineStr">
        <is>
          <t>LIDKÖPING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28068-2026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46220</v>
      </c>
      <c r="F166" t="inlineStr">
        <is>
          <t>VÄSTRA GÖTALANDS LÄN</t>
        </is>
      </c>
      <c r="G166" t="inlineStr">
        <is>
          <t>LIDKÖPING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45608-2022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46220</v>
      </c>
      <c r="F167" t="inlineStr">
        <is>
          <t>VÄSTRA GÖTALANDS LÄN</t>
        </is>
      </c>
      <c r="G167" t="inlineStr">
        <is>
          <t>LIDKÖPING</t>
        </is>
      </c>
      <c r="I167" t="n">
        <v>17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28056-2026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46220</v>
      </c>
      <c r="F168" t="inlineStr">
        <is>
          <t>VÄSTRA GÖTALANDS LÄN</t>
        </is>
      </c>
      <c r="G168" t="inlineStr">
        <is>
          <t>LIDKÖPING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61405-2025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46220</v>
      </c>
      <c r="F169" t="inlineStr">
        <is>
          <t>VÄSTRA GÖTALANDS LÄN</t>
        </is>
      </c>
      <c r="G169" t="inlineStr">
        <is>
          <t>LIDKÖPING</t>
        </is>
      </c>
      <c r="H169" t="inlineStr">
        <is>
          <t>Kyrkan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58672-2022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46220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55897-2024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46220</v>
      </c>
      <c r="F171" t="inlineStr">
        <is>
          <t>VÄSTRA GÖTALANDS LÄN</t>
        </is>
      </c>
      <c r="G171" t="inlineStr">
        <is>
          <t>LIDKÖPING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28309-2026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46196</v>
      </c>
      <c r="E172" s="1" t="n">
        <v>46220</v>
      </c>
      <c r="F172" t="inlineStr">
        <is>
          <t>VÄSTRA GÖTALANDS LÄN</t>
        </is>
      </c>
      <c r="G172" t="inlineStr">
        <is>
          <t>LIDKÖPING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29433-2025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46220</v>
      </c>
      <c r="F173" t="inlineStr">
        <is>
          <t>VÄSTRA GÖTALANDS LÄN</t>
        </is>
      </c>
      <c r="G173" t="inlineStr">
        <is>
          <t>LIDKÖPING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41163-2023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45174</v>
      </c>
      <c r="E174" s="1" t="n">
        <v>46220</v>
      </c>
      <c r="F174" t="inlineStr">
        <is>
          <t>VÄSTRA GÖTALANDS LÄN</t>
        </is>
      </c>
      <c r="G174" t="inlineStr">
        <is>
          <t>LIDKÖPING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8936-2026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46220</v>
      </c>
      <c r="F175" t="inlineStr">
        <is>
          <t>VÄSTRA GÖTALANDS LÄN</t>
        </is>
      </c>
      <c r="G175" t="inlineStr">
        <is>
          <t>LIDKÖPING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40257-2023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46220</v>
      </c>
      <c r="F176" t="inlineStr">
        <is>
          <t>VÄSTRA GÖTALANDS LÄN</t>
        </is>
      </c>
      <c r="G176" t="inlineStr">
        <is>
          <t>LIDKÖPING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36622-2023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46220</v>
      </c>
      <c r="F177" t="inlineStr">
        <is>
          <t>VÄSTRA GÖTALANDS LÄN</t>
        </is>
      </c>
      <c r="G177" t="inlineStr">
        <is>
          <t>LIDKÖPING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62541-2021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44503</v>
      </c>
      <c r="E178" s="1" t="n">
        <v>46220</v>
      </c>
      <c r="F178" t="inlineStr">
        <is>
          <t>VÄSTRA GÖTALANDS LÄN</t>
        </is>
      </c>
      <c r="G178" t="inlineStr">
        <is>
          <t>LIDKÖPING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28850-2024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46220</v>
      </c>
      <c r="F179" t="inlineStr">
        <is>
          <t>VÄSTRA GÖTALANDS LÄN</t>
        </is>
      </c>
      <c r="G179" t="inlineStr">
        <is>
          <t>LIDKÖPING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44849-2024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46220</v>
      </c>
      <c r="F180" t="inlineStr">
        <is>
          <t>VÄSTRA GÖTALANDS LÄN</t>
        </is>
      </c>
      <c r="G180" t="inlineStr">
        <is>
          <t>LIDKÖPING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59644-2023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45254</v>
      </c>
      <c r="E181" s="1" t="n">
        <v>46220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56365-2024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45625</v>
      </c>
      <c r="E182" s="1" t="n">
        <v>46220</v>
      </c>
      <c r="F182" t="inlineStr">
        <is>
          <t>VÄSTRA GÖTALANDS LÄN</t>
        </is>
      </c>
      <c r="G182" t="inlineStr">
        <is>
          <t>LIDKÖPING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46220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40291-2024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45554</v>
      </c>
      <c r="E184" s="1" t="n">
        <v>46220</v>
      </c>
      <c r="F184" t="inlineStr">
        <is>
          <t>VÄSTRA GÖTALANDS LÄN</t>
        </is>
      </c>
      <c r="G184" t="inlineStr">
        <is>
          <t>LIDKÖPING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24279-2026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46220</v>
      </c>
      <c r="F185" t="inlineStr">
        <is>
          <t>VÄSTRA GÖTALANDS LÄN</t>
        </is>
      </c>
      <c r="G185" t="inlineStr">
        <is>
          <t>LIDKÖPING</t>
        </is>
      </c>
      <c r="I185" t="n">
        <v>11.7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33209-2023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45127</v>
      </c>
      <c r="E186" s="1" t="n">
        <v>46220</v>
      </c>
      <c r="F186" t="inlineStr">
        <is>
          <t>VÄSTRA GÖTALANDS LÄN</t>
        </is>
      </c>
      <c r="G186" t="inlineStr">
        <is>
          <t>LIDKÖPING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53764-2024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46220</v>
      </c>
      <c r="F187" t="inlineStr">
        <is>
          <t>VÄSTRA GÖTALANDS LÄN</t>
        </is>
      </c>
      <c r="G187" t="inlineStr">
        <is>
          <t>LIDKÖPING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44308-2023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45188</v>
      </c>
      <c r="E188" s="1" t="n">
        <v>46220</v>
      </c>
      <c r="F188" t="inlineStr">
        <is>
          <t>VÄSTRA GÖTALANDS LÄN</t>
        </is>
      </c>
      <c r="G188" t="inlineStr">
        <is>
          <t>LIDKÖPING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13530-2023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45006</v>
      </c>
      <c r="E189" s="1" t="n">
        <v>46220</v>
      </c>
      <c r="F189" t="inlineStr">
        <is>
          <t>VÄSTRA GÖTALANDS LÄN</t>
        </is>
      </c>
      <c r="G189" t="inlineStr">
        <is>
          <t>LIDKÖPING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35087-2024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45527</v>
      </c>
      <c r="E190" s="1" t="n">
        <v>46220</v>
      </c>
      <c r="F190" t="inlineStr">
        <is>
          <t>VÄSTRA GÖTALANDS LÄN</t>
        </is>
      </c>
      <c r="G190" t="inlineStr">
        <is>
          <t>LIDKÖPING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24736-2026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46220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33654-2022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44789</v>
      </c>
      <c r="E192" s="1" t="n">
        <v>46220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53769-2024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45615</v>
      </c>
      <c r="E193" s="1" t="n">
        <v>46220</v>
      </c>
      <c r="F193" t="inlineStr">
        <is>
          <t>VÄSTRA GÖTALANDS LÄN</t>
        </is>
      </c>
      <c r="G193" t="inlineStr">
        <is>
          <t>LIDKÖPING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46220</v>
      </c>
      <c r="F194" t="inlineStr">
        <is>
          <t>VÄSTRA GÖTALANDS LÄN</t>
        </is>
      </c>
      <c r="G194" t="inlineStr">
        <is>
          <t>LIDKÖPING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18768-2024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45426</v>
      </c>
      <c r="E195" s="1" t="n">
        <v>46220</v>
      </c>
      <c r="F195" t="inlineStr">
        <is>
          <t>VÄSTRA GÖTALANDS LÄN</t>
        </is>
      </c>
      <c r="G195" t="inlineStr">
        <is>
          <t>LIDKÖPING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56740-2023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46220</v>
      </c>
      <c r="F196" t="inlineStr">
        <is>
          <t>VÄSTRA GÖTALANDS LÄN</t>
        </is>
      </c>
      <c r="G196" t="inlineStr">
        <is>
          <t>LIDKÖPING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43460-2024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46220</v>
      </c>
      <c r="F197" t="inlineStr">
        <is>
          <t>VÄSTRA GÖTALANDS LÄN</t>
        </is>
      </c>
      <c r="G197" t="inlineStr">
        <is>
          <t>LIDKÖPING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59010-2024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45635</v>
      </c>
      <c r="E198" s="1" t="n">
        <v>46220</v>
      </c>
      <c r="F198" t="inlineStr">
        <is>
          <t>VÄSTRA GÖTALANDS LÄN</t>
        </is>
      </c>
      <c r="G198" t="inlineStr">
        <is>
          <t>LIDKÖPING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61817-2024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46220</v>
      </c>
      <c r="F199" t="inlineStr">
        <is>
          <t>VÄSTRA GÖTALANDS LÄN</t>
        </is>
      </c>
      <c r="G199" t="inlineStr">
        <is>
          <t>LIDKÖPING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9973-2024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45363</v>
      </c>
      <c r="E200" s="1" t="n">
        <v>46220</v>
      </c>
      <c r="F200" t="inlineStr">
        <is>
          <t>VÄSTRA GÖTALANDS LÄN</t>
        </is>
      </c>
      <c r="G200" t="inlineStr">
        <is>
          <t>LIDKÖPING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56373-2024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46220</v>
      </c>
      <c r="F201" t="inlineStr">
        <is>
          <t>VÄSTRA GÖTALANDS LÄN</t>
        </is>
      </c>
      <c r="G201" t="inlineStr">
        <is>
          <t>LIDKÖPING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53805-2024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46220</v>
      </c>
      <c r="F202" t="inlineStr">
        <is>
          <t>VÄSTRA GÖTALANDS LÄN</t>
        </is>
      </c>
      <c r="G202" t="inlineStr">
        <is>
          <t>LIDKÖPING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46220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S 3762-2024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45558</v>
      </c>
      <c r="E204" s="1" t="n">
        <v>46220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46220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46220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46220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46220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2026-07-17T01:41:39Z</dcterms:created>
  <dcterms:modified xmlns:dcterms="http://purl.org/dc/terms/" xmlns:xsi="http://www.w3.org/2001/XMLSchema-instance" xsi:type="dcterms:W3CDTF">2026-07-17T01:41:39Z</dcterms:modified>
</cp:coreProperties>
</file>