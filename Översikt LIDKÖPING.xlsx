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45791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20821-2024</t>
        </is>
      </c>
      <c r="B3" s="1" t="n">
        <v>45439</v>
      </c>
      <c r="C3" s="1" t="n">
        <v>45791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Övriga statliga verk och myndigheter</t>
        </is>
      </c>
      <c r="G3" t="n">
        <v>8.199999999999999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Nordfladdermus
Sydfladdermus
Dvärgpipistrell
Gråskimlig fladdermus
Större brunfladdermus
Vattenfladdermus</t>
        </is>
      </c>
      <c r="S3">
        <f>HYPERLINK("https://klasma.github.io/Logging_1494/artfynd/A 20821-2024 artfynd.xlsx", "A 20821-2024")</f>
        <v/>
      </c>
      <c r="T3">
        <f>HYPERLINK("https://klasma.github.io/Logging_1494/kartor/A 20821-2024 karta.png", "A 20821-2024")</f>
        <v/>
      </c>
      <c r="V3">
        <f>HYPERLINK("https://klasma.github.io/Logging_1494/klagomål/A 20821-2024 FSC-klagomål.docx", "A 20821-2024")</f>
        <v/>
      </c>
      <c r="W3">
        <f>HYPERLINK("https://klasma.github.io/Logging_1494/klagomålsmail/A 20821-2024 FSC-klagomål mail.docx", "A 20821-2024")</f>
        <v/>
      </c>
      <c r="X3">
        <f>HYPERLINK("https://klasma.github.io/Logging_1494/tillsyn/A 20821-2024 tillsynsbegäran.docx", "A 20821-2024")</f>
        <v/>
      </c>
      <c r="Y3">
        <f>HYPERLINK("https://klasma.github.io/Logging_1494/tillsynsmail/A 20821-2024 tillsynsbegäran mail.docx", "A 20821-2024")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45791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45791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45791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45791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45791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45791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45791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45791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45791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45791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45791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45791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45791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45791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45791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45791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45791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45791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45791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45791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45791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45791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45791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45791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45791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45791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45791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45791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45791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45791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45791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45791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45791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45791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45791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45791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45791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45791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45791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45791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45791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45791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45791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45791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45791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45791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45791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45791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45791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45791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45791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45791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45791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45791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45791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45791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45791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45791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45791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45791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45791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45791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45791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45791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45791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45791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45791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45791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45791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45791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45791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45791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45791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45791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45791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45791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45791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45791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45791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45791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45791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45791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45791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45791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45791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45791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45791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45791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45791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45791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45791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45791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45791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45791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45791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45791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45791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45791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45791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45791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45791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45791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45791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45791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45791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45791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45791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45791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45791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45791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45791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45791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45791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45791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45791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45791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45791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45791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45791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45791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45791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45791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45791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45791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45791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45791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45791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45791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45791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45791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45791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45791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45791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45791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45791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45791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45791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45791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45791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45791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45791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45791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45791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45791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45791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45791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45791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45791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45791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45791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45791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45791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45791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45791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45791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45791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45791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45791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45791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45791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45791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45791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45791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45791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45791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45791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45791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45791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45791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45791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45791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45791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45791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45791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45791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45791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45791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45791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45791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45791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45791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45791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45791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45791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45791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45791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45791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45791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45791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45791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45791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45791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45791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45791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45791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45791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45791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45791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45791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45791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45791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45791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45791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45791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45791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45791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45791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45791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45791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45791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45791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45791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45791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45791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45791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45791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45791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45791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45791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45791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45791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45791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45791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45791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45791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45791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45791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45791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45791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45791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45791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45791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45791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45791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45791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45791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45791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45791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45791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45791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45791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45791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45791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45791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45791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45791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45791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45791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45791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45791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45791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45791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45791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45791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45791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45791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45791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45791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45791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45791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45791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45791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45791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45791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45791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45791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45791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45791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45791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45791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45791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45791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45791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45791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45791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45791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45791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45791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45791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45791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45791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45791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45791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45791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45791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45791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45791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45791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45791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45791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45791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45791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45791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45791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45791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45791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45791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45791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45791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45791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45791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45791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45791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45791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45791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45791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45791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45791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45791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45791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45791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45791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45791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45791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45791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45791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45791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45791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45791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45791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45791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45791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45791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45791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45791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45791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45791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45791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45791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45791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45791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45791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45791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45791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45791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45791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45791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45791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45791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45791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45791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45791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45791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45791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45791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45791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45791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45791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45791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45791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45791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45791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45791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45791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45791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45791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45791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45791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45791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45791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45791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45791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45791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45791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45791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45791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45791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45791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45791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45791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45791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45791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45791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45791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45791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45791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45791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45791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45791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45791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45791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45791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45791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45791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45791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45791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45791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45791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45791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45791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45791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45791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45791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45791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45791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45791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45791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45791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45791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45791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45791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45791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45791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45791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45791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45791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45791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45791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45791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45791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45791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45791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45791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45791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45791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45791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45791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45791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45791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45791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45791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45791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45791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45791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45791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45791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45791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45791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45791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45791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45791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45791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45791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45791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45791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45791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45791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45791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45791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45791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45791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45791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45791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45791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45791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45791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45791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45791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45791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45791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45791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45791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45791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45791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45791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45791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45791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45791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45791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45791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45791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45791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45791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45791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45791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45791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45791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45791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45791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20614-2025</t>
        </is>
      </c>
      <c r="B473" s="1" t="n">
        <v>45776</v>
      </c>
      <c r="C473" s="1" t="n">
        <v>45791</v>
      </c>
      <c r="D473" t="inlineStr">
        <is>
          <t>VÄSTRA GÖTALANDS LÄN</t>
        </is>
      </c>
      <c r="E473" t="inlineStr">
        <is>
          <t>LIDKÖPING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22922-2025</t>
        </is>
      </c>
      <c r="B474" s="1" t="n">
        <v>45790</v>
      </c>
      <c r="C474" s="1" t="n">
        <v>45791</v>
      </c>
      <c r="D474" t="inlineStr">
        <is>
          <t>VÄSTRA GÖTALANDS LÄN</t>
        </is>
      </c>
      <c r="E474" t="inlineStr">
        <is>
          <t>LIDKÖPING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22984-2025</t>
        </is>
      </c>
      <c r="B475" s="1" t="n">
        <v>45790</v>
      </c>
      <c r="C475" s="1" t="n">
        <v>45791</v>
      </c>
      <c r="D475" t="inlineStr">
        <is>
          <t>VÄSTRA GÖTALANDS LÄN</t>
        </is>
      </c>
      <c r="E475" t="inlineStr">
        <is>
          <t>LIDKÖPING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22877-2025</t>
        </is>
      </c>
      <c r="B476" s="1" t="n">
        <v>45790</v>
      </c>
      <c r="C476" s="1" t="n">
        <v>45791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2025-05-14T17:32:53Z</dcterms:created>
  <dcterms:modified xmlns:dcterms="http://purl.org/dc/terms/" xmlns:xsi="http://www.w3.org/2001/XMLSchema-instance" xsi:type="dcterms:W3CDTF">2025-05-14T17:32:53Z</dcterms:modified>
</cp:coreProperties>
</file>