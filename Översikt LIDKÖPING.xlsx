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46252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46252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46252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46252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46252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46252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46252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46252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61818-2024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45649</v>
      </c>
      <c r="E14" s="1" t="n">
        <v>46252</v>
      </c>
      <c r="F14" t="inlineStr">
        <is>
          <t>VÄSTRA GÖTALANDS LÄN</t>
        </is>
      </c>
      <c r="G14" t="inlineStr">
        <is>
          <t>LIDKÖPING</t>
        </is>
      </c>
      <c r="I14" t="n">
        <v>6.2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Rödvingetrast</t>
        </is>
      </c>
      <c r="W14">
        <f>HYPERLINK("https://klasma.github.io/Logging_1494/artfynd/A 61818-2024 artfynd.xlsx", "A 61818-2024")</f>
        <v/>
      </c>
      <c r="X14">
        <f>HYPERLINK("https://klasma.github.io/Logging_1494/kartor/A 61818-2024 karta.png", "A 61818-2024")</f>
        <v/>
      </c>
      <c r="Y14">
        <f>HYPERLINK("https://klasma.github.io/Logging_1494/kartor_geotiff/A 61818-2024 georefererad karta.tif", "A 61818-2024")</f>
        <v/>
      </c>
      <c r="AA14">
        <f>HYPERLINK("https://klasma.github.io/Logging_1494/klagomål/A 61818-2024 FSC-klagomål.docx", "A 61818-2024")</f>
        <v/>
      </c>
      <c r="AB14">
        <f>HYPERLINK("https://klasma.github.io/Logging_1494/klagomålsmail/A 61818-2024 FSC-klagomål mail.docx", "A 61818-2024")</f>
        <v/>
      </c>
      <c r="AC14">
        <f>HYPERLINK("https://klasma.github.io/Logging_1494/tillsyn/A 61818-2024 tillsynsbegäran.docx", "A 61818-2024")</f>
        <v/>
      </c>
      <c r="AD14">
        <f>HYPERLINK("https://klasma.github.io/Logging_1494/tillsynsmail/A 61818-2024 tillsynsbegäran mail.docx", "A 61818-2024")</f>
        <v/>
      </c>
      <c r="AE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46252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46252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46252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46252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46252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46252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46252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46252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46252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46252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46252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46252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46252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46252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46252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46252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46252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46252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46252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46252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46252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36945-2024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45538</v>
      </c>
      <c r="E43" s="1" t="n">
        <v>46252</v>
      </c>
      <c r="F43" t="inlineStr">
        <is>
          <t>VÄSTRA GÖTALANDS LÄN</t>
        </is>
      </c>
      <c r="G43" t="inlineStr">
        <is>
          <t>LIDKÖPING</t>
        </is>
      </c>
      <c r="H43" t="inlineStr">
        <is>
          <t>Kommuner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17892-2025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45758</v>
      </c>
      <c r="E44" s="1" t="n">
        <v>46252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44767</v>
      </c>
      <c r="E45" s="1" t="n">
        <v>46252</v>
      </c>
      <c r="F45" t="inlineStr">
        <is>
          <t>VÄSTRA GÖTALANDS LÄN</t>
        </is>
      </c>
      <c r="G45" t="inlineStr">
        <is>
          <t>LIDKÖPING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46252</v>
      </c>
      <c r="F46" t="inlineStr">
        <is>
          <t>VÄSTRA GÖTALANDS LÄN</t>
        </is>
      </c>
      <c r="G46" t="inlineStr">
        <is>
          <t>LIDKÖPING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44998</v>
      </c>
      <c r="E47" s="1" t="n">
        <v>46252</v>
      </c>
      <c r="F47" t="inlineStr">
        <is>
          <t>VÄSTRA GÖTALANDS LÄN</t>
        </is>
      </c>
      <c r="G47" t="inlineStr">
        <is>
          <t>LIDKÖPING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46252</v>
      </c>
      <c r="F48" t="inlineStr">
        <is>
          <t>VÄSTRA GÖTALANDS LÄN</t>
        </is>
      </c>
      <c r="G48" t="inlineStr">
        <is>
          <t>LIDKÖPING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44446</v>
      </c>
      <c r="E49" s="1" t="n">
        <v>46252</v>
      </c>
      <c r="F49" t="inlineStr">
        <is>
          <t>VÄSTRA GÖTALANDS LÄN</t>
        </is>
      </c>
      <c r="G49" t="inlineStr">
        <is>
          <t>LIDKÖPING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45834</v>
      </c>
      <c r="E50" s="1" t="n">
        <v>46252</v>
      </c>
      <c r="F50" t="inlineStr">
        <is>
          <t>VÄSTRA GÖTALANDS LÄN</t>
        </is>
      </c>
      <c r="G50" t="inlineStr">
        <is>
          <t>LIDKÖPING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45834</v>
      </c>
      <c r="E51" s="1" t="n">
        <v>46252</v>
      </c>
      <c r="F51" t="inlineStr">
        <is>
          <t>VÄSTRA GÖTALANDS LÄN</t>
        </is>
      </c>
      <c r="G51" t="inlineStr">
        <is>
          <t>LIDKÖPING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46252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45660</v>
      </c>
      <c r="E53" s="1" t="n">
        <v>46252</v>
      </c>
      <c r="F53" t="inlineStr">
        <is>
          <t>VÄSTRA GÖTALANDS LÄN</t>
        </is>
      </c>
      <c r="G53" t="inlineStr">
        <is>
          <t>LIDKÖPING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46252</v>
      </c>
      <c r="F54" t="inlineStr">
        <is>
          <t>VÄSTRA GÖTALANDS LÄN</t>
        </is>
      </c>
      <c r="G54" t="inlineStr">
        <is>
          <t>LIDKÖPING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46252</v>
      </c>
      <c r="F55" t="inlineStr">
        <is>
          <t>VÄSTRA GÖTALANDS LÄN</t>
        </is>
      </c>
      <c r="G55" t="inlineStr">
        <is>
          <t>LIDKÖPING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45837</v>
      </c>
      <c r="E56" s="1" t="n">
        <v>46252</v>
      </c>
      <c r="F56" t="inlineStr">
        <is>
          <t>VÄSTRA GÖTALANDS LÄN</t>
        </is>
      </c>
      <c r="G56" t="inlineStr">
        <is>
          <t>LIDKÖPING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7760-2025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46252</v>
      </c>
      <c r="F57" t="inlineStr">
        <is>
          <t>VÄSTRA GÖTALANDS LÄN</t>
        </is>
      </c>
      <c r="G57" t="inlineStr">
        <is>
          <t>LIDKÖPING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45672</v>
      </c>
      <c r="E58" s="1" t="n">
        <v>46252</v>
      </c>
      <c r="F58" t="inlineStr">
        <is>
          <t>VÄSTRA GÖTALANDS LÄN</t>
        </is>
      </c>
      <c r="G58" t="inlineStr">
        <is>
          <t>LIDKÖPING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46252</v>
      </c>
      <c r="F59" t="inlineStr">
        <is>
          <t>VÄSTRA GÖTALANDS LÄN</t>
        </is>
      </c>
      <c r="G59" t="inlineStr">
        <is>
          <t>LIDKÖPING</t>
        </is>
      </c>
      <c r="I59" t="n">
        <v>22.6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45252</v>
      </c>
      <c r="E60" s="1" t="n">
        <v>46252</v>
      </c>
      <c r="F60" t="inlineStr">
        <is>
          <t>VÄSTRA GÖTALANDS LÄN</t>
        </is>
      </c>
      <c r="G60" t="inlineStr">
        <is>
          <t>LIDKÖPING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46252</v>
      </c>
      <c r="F61" t="inlineStr">
        <is>
          <t>VÄSTRA GÖTALANDS LÄN</t>
        </is>
      </c>
      <c r="G61" t="inlineStr">
        <is>
          <t>LIDKÖPING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60642-2023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45260</v>
      </c>
      <c r="E62" s="1" t="n">
        <v>46252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45642</v>
      </c>
      <c r="E63" s="1" t="n">
        <v>46252</v>
      </c>
      <c r="F63" t="inlineStr">
        <is>
          <t>VÄSTRA GÖTALANDS LÄN</t>
        </is>
      </c>
      <c r="G63" t="inlineStr">
        <is>
          <t>LIDKÖPING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46252</v>
      </c>
      <c r="F64" t="inlineStr">
        <is>
          <t>VÄSTRA GÖTALANDS LÄN</t>
        </is>
      </c>
      <c r="G64" t="inlineStr">
        <is>
          <t>LIDKÖPING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45590</v>
      </c>
      <c r="E65" s="1" t="n">
        <v>46252</v>
      </c>
      <c r="F65" t="inlineStr">
        <is>
          <t>VÄSTRA GÖTALANDS LÄN</t>
        </is>
      </c>
      <c r="G65" t="inlineStr">
        <is>
          <t>LIDKÖPING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45432</v>
      </c>
      <c r="E66" s="1" t="n">
        <v>46252</v>
      </c>
      <c r="F66" t="inlineStr">
        <is>
          <t>VÄSTRA GÖTALANDS LÄN</t>
        </is>
      </c>
      <c r="G66" t="inlineStr">
        <is>
          <t>LIDKÖPING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46252</v>
      </c>
      <c r="F67" t="inlineStr">
        <is>
          <t>VÄSTRA GÖTALANDS LÄN</t>
        </is>
      </c>
      <c r="G67" t="inlineStr">
        <is>
          <t>LIDKÖPING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56413-2024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45623</v>
      </c>
      <c r="E68" s="1" t="n">
        <v>46252</v>
      </c>
      <c r="F68" t="inlineStr">
        <is>
          <t>VÄSTRA GÖTALANDS LÄN</t>
        </is>
      </c>
      <c r="G68" t="inlineStr">
        <is>
          <t>LIDKÖPING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46252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45672</v>
      </c>
      <c r="E70" s="1" t="n">
        <v>46252</v>
      </c>
      <c r="F70" t="inlineStr">
        <is>
          <t>VÄSTRA GÖTALANDS LÄN</t>
        </is>
      </c>
      <c r="G70" t="inlineStr">
        <is>
          <t>LIDKÖPING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46252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46252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46252</v>
      </c>
      <c r="F73" t="inlineStr">
        <is>
          <t>VÄSTRA GÖTALANDS LÄN</t>
        </is>
      </c>
      <c r="G73" t="inlineStr">
        <is>
          <t>LIDKÖPING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45141</v>
      </c>
      <c r="E74" s="1" t="n">
        <v>46252</v>
      </c>
      <c r="F74" t="inlineStr">
        <is>
          <t>VÄSTRA GÖTALANDS LÄN</t>
        </is>
      </c>
      <c r="G74" t="inlineStr">
        <is>
          <t>LIDKÖPING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36835-2024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45538</v>
      </c>
      <c r="E75" s="1" t="n">
        <v>46252</v>
      </c>
      <c r="F75" t="inlineStr">
        <is>
          <t>VÄSTRA GÖTALANDS LÄN</t>
        </is>
      </c>
      <c r="G75" t="inlineStr">
        <is>
          <t>LIDKÖPING</t>
        </is>
      </c>
      <c r="H75" t="inlineStr">
        <is>
          <t>Kommuner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58393-2022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44901</v>
      </c>
      <c r="E76" s="1" t="n">
        <v>46252</v>
      </c>
      <c r="F76" t="inlineStr">
        <is>
          <t>VÄSTRA GÖTALANDS LÄN</t>
        </is>
      </c>
      <c r="G76" t="inlineStr">
        <is>
          <t>LIDKÖPING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46252</v>
      </c>
      <c r="F77" t="inlineStr">
        <is>
          <t>VÄSTRA GÖTALANDS LÄN</t>
        </is>
      </c>
      <c r="G77" t="inlineStr">
        <is>
          <t>LIDKÖPING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46252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46252</v>
      </c>
      <c r="F79" t="inlineStr">
        <is>
          <t>VÄSTRA GÖTALANDS LÄN</t>
        </is>
      </c>
      <c r="G79" t="inlineStr">
        <is>
          <t>LIDKÖPING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46252</v>
      </c>
      <c r="F80" t="inlineStr">
        <is>
          <t>VÄSTRA GÖTALANDS LÄN</t>
        </is>
      </c>
      <c r="G80" t="inlineStr">
        <is>
          <t>LIDKÖPING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46252</v>
      </c>
      <c r="F81" t="inlineStr">
        <is>
          <t>VÄSTRA GÖTALANDS LÄN</t>
        </is>
      </c>
      <c r="G81" t="inlineStr">
        <is>
          <t>LIDKÖPING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37195-2025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45875</v>
      </c>
      <c r="E82" s="1" t="n">
        <v>46252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45232</v>
      </c>
      <c r="E83" s="1" t="n">
        <v>46252</v>
      </c>
      <c r="F83" t="inlineStr">
        <is>
          <t>VÄSTRA GÖTALANDS LÄN</t>
        </is>
      </c>
      <c r="G83" t="inlineStr">
        <is>
          <t>LIDKÖPING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36816-2024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45538</v>
      </c>
      <c r="E84" s="1" t="n">
        <v>46252</v>
      </c>
      <c r="F84" t="inlineStr">
        <is>
          <t>VÄSTRA GÖTALANDS LÄN</t>
        </is>
      </c>
      <c r="G84" t="inlineStr">
        <is>
          <t>LIDKÖPING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46252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45375</v>
      </c>
      <c r="E86" s="1" t="n">
        <v>46252</v>
      </c>
      <c r="F86" t="inlineStr">
        <is>
          <t>VÄSTRA GÖTALANDS LÄN</t>
        </is>
      </c>
      <c r="G86" t="inlineStr">
        <is>
          <t>LIDKÖPING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46252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46252</v>
      </c>
      <c r="F88" t="inlineStr">
        <is>
          <t>VÄSTRA GÖTALANDS LÄN</t>
        </is>
      </c>
      <c r="G88" t="inlineStr">
        <is>
          <t>LIDKÖPING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46252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46252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46252</v>
      </c>
      <c r="F91" t="inlineStr">
        <is>
          <t>VÄSTRA GÖTALANDS LÄN</t>
        </is>
      </c>
      <c r="G91" t="inlineStr">
        <is>
          <t>LIDKÖPING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45462</v>
      </c>
      <c r="E92" s="1" t="n">
        <v>46252</v>
      </c>
      <c r="F92" t="inlineStr">
        <is>
          <t>VÄSTRA GÖTALANDS LÄN</t>
        </is>
      </c>
      <c r="G92" t="inlineStr">
        <is>
          <t>LIDKÖPING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46252</v>
      </c>
      <c r="F93" t="inlineStr">
        <is>
          <t>VÄSTRA GÖTALANDS LÄN</t>
        </is>
      </c>
      <c r="G93" t="inlineStr">
        <is>
          <t>LIDKÖPING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46252</v>
      </c>
      <c r="F94" t="inlineStr">
        <is>
          <t>VÄSTRA GÖTALANDS LÄN</t>
        </is>
      </c>
      <c r="G94" t="inlineStr">
        <is>
          <t>LIDKÖPING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46252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39800-2022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44819</v>
      </c>
      <c r="E96" s="1" t="n">
        <v>46252</v>
      </c>
      <c r="F96" t="inlineStr">
        <is>
          <t>VÄSTRA GÖTALANDS LÄN</t>
        </is>
      </c>
      <c r="G96" t="inlineStr">
        <is>
          <t>LIDKÖPING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31596-2024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46252</v>
      </c>
      <c r="F97" t="inlineStr">
        <is>
          <t>VÄSTRA GÖTALANDS LÄN</t>
        </is>
      </c>
      <c r="G97" t="inlineStr">
        <is>
          <t>LIDKÖPING</t>
        </is>
      </c>
      <c r="H97" t="inlineStr">
        <is>
          <t>Kommuner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46252</v>
      </c>
      <c r="F98" t="inlineStr">
        <is>
          <t>VÄSTRA GÖTALANDS LÄN</t>
        </is>
      </c>
      <c r="G98" t="inlineStr">
        <is>
          <t>LIDKÖPING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46252</v>
      </c>
      <c r="F99" t="inlineStr">
        <is>
          <t>VÄSTRA GÖTALANDS LÄN</t>
        </is>
      </c>
      <c r="G99" t="inlineStr">
        <is>
          <t>LIDKÖPING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63778-2023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45278</v>
      </c>
      <c r="E100" s="1" t="n">
        <v>46252</v>
      </c>
      <c r="F100" t="inlineStr">
        <is>
          <t>VÄSTRA GÖTALANDS LÄN</t>
        </is>
      </c>
      <c r="G100" t="inlineStr">
        <is>
          <t>LIDKÖPING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45229</v>
      </c>
      <c r="E101" s="1" t="n">
        <v>46252</v>
      </c>
      <c r="F101" t="inlineStr">
        <is>
          <t>VÄSTRA GÖTALANDS LÄN</t>
        </is>
      </c>
      <c r="G101" t="inlineStr">
        <is>
          <t>LIDKÖPING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46252</v>
      </c>
      <c r="F102" t="inlineStr">
        <is>
          <t>VÄSTRA GÖTALANDS LÄN</t>
        </is>
      </c>
      <c r="G102" t="inlineStr">
        <is>
          <t>LIDKÖPING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46252</v>
      </c>
      <c r="F103" t="inlineStr">
        <is>
          <t>VÄSTRA GÖTALANDS LÄN</t>
        </is>
      </c>
      <c r="G103" t="inlineStr">
        <is>
          <t>LIDKÖPING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46252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46252</v>
      </c>
      <c r="F105" t="inlineStr">
        <is>
          <t>VÄSTRA GÖTALANDS LÄN</t>
        </is>
      </c>
      <c r="G105" t="inlineStr">
        <is>
          <t>LIDKÖPING</t>
        </is>
      </c>
      <c r="I105" t="n">
        <v>17.4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53273-2023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45229</v>
      </c>
      <c r="E106" s="1" t="n">
        <v>46252</v>
      </c>
      <c r="F106" t="inlineStr">
        <is>
          <t>VÄSTRA GÖTALANDS LÄN</t>
        </is>
      </c>
      <c r="G106" t="inlineStr">
        <is>
          <t>LIDKÖPING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46252</v>
      </c>
      <c r="F107" t="inlineStr">
        <is>
          <t>VÄSTRA GÖTALANDS LÄN</t>
        </is>
      </c>
      <c r="G107" t="inlineStr">
        <is>
          <t>LIDKÖPING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46252</v>
      </c>
      <c r="F108" t="inlineStr">
        <is>
          <t>VÄSTRA GÖTALANDS LÄN</t>
        </is>
      </c>
      <c r="G108" t="inlineStr">
        <is>
          <t>LIDKÖPING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45084</v>
      </c>
      <c r="E109" s="1" t="n">
        <v>46252</v>
      </c>
      <c r="F109" t="inlineStr">
        <is>
          <t>VÄSTRA GÖTALANDS LÄN</t>
        </is>
      </c>
      <c r="G109" t="inlineStr">
        <is>
          <t>LIDKÖPING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59068-2023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45252</v>
      </c>
      <c r="E110" s="1" t="n">
        <v>46252</v>
      </c>
      <c r="F110" t="inlineStr">
        <is>
          <t>VÄSTRA GÖTALANDS LÄN</t>
        </is>
      </c>
      <c r="G110" t="inlineStr">
        <is>
          <t>LIDKÖPING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46252</v>
      </c>
      <c r="F111" t="inlineStr">
        <is>
          <t>VÄSTRA GÖTALANDS LÄN</t>
        </is>
      </c>
      <c r="G111" t="inlineStr">
        <is>
          <t>LIDKÖPING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46252</v>
      </c>
      <c r="F112" t="inlineStr">
        <is>
          <t>VÄSTRA GÖTALANDS LÄN</t>
        </is>
      </c>
      <c r="G112" t="inlineStr">
        <is>
          <t>LIDKÖPING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46252</v>
      </c>
      <c r="F113" t="inlineStr">
        <is>
          <t>VÄSTRA GÖTALANDS LÄN</t>
        </is>
      </c>
      <c r="G113" t="inlineStr">
        <is>
          <t>LIDKÖPING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46252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46252</v>
      </c>
      <c r="F115" t="inlineStr">
        <is>
          <t>VÄSTRA GÖTALANDS LÄN</t>
        </is>
      </c>
      <c r="G115" t="inlineStr">
        <is>
          <t>LIDKÖPING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45125</v>
      </c>
      <c r="E116" s="1" t="n">
        <v>46252</v>
      </c>
      <c r="F116" t="inlineStr">
        <is>
          <t>VÄSTRA GÖTALANDS LÄN</t>
        </is>
      </c>
      <c r="G116" t="inlineStr">
        <is>
          <t>LIDKÖPING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45702</v>
      </c>
      <c r="E117" s="1" t="n">
        <v>46252</v>
      </c>
      <c r="F117" t="inlineStr">
        <is>
          <t>VÄSTRA GÖTALANDS LÄN</t>
        </is>
      </c>
      <c r="G117" t="inlineStr">
        <is>
          <t>LIDKÖPING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46252</v>
      </c>
      <c r="F118" t="inlineStr">
        <is>
          <t>VÄSTRA GÖTALANDS LÄN</t>
        </is>
      </c>
      <c r="G118" t="inlineStr">
        <is>
          <t>LIDKÖPING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45120</v>
      </c>
      <c r="E119" s="1" t="n">
        <v>46252</v>
      </c>
      <c r="F119" t="inlineStr">
        <is>
          <t>VÄSTRA GÖTALANDS LÄN</t>
        </is>
      </c>
      <c r="G119" t="inlineStr">
        <is>
          <t>LIDKÖPING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6080-2023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44964</v>
      </c>
      <c r="E120" s="1" t="n">
        <v>46252</v>
      </c>
      <c r="F120" t="inlineStr">
        <is>
          <t>VÄSTRA GÖTALANDS LÄN</t>
        </is>
      </c>
      <c r="G120" t="inlineStr">
        <is>
          <t>LIDKÖPING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46252</v>
      </c>
      <c r="F121" t="inlineStr">
        <is>
          <t>VÄSTRA GÖTALANDS LÄN</t>
        </is>
      </c>
      <c r="G121" t="inlineStr">
        <is>
          <t>LIDKÖPING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45155</v>
      </c>
      <c r="E122" s="1" t="n">
        <v>46252</v>
      </c>
      <c r="F122" t="inlineStr">
        <is>
          <t>VÄSTRA GÖTALANDS LÄN</t>
        </is>
      </c>
      <c r="G122" t="inlineStr">
        <is>
          <t>LIDKÖPING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46252</v>
      </c>
      <c r="F123" t="inlineStr">
        <is>
          <t>VÄSTRA GÖTALANDS LÄN</t>
        </is>
      </c>
      <c r="G123" t="inlineStr">
        <is>
          <t>LIDKÖPING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46252</v>
      </c>
      <c r="F124" t="inlineStr">
        <is>
          <t>VÄSTRA GÖTALANDS LÄN</t>
        </is>
      </c>
      <c r="G124" t="inlineStr">
        <is>
          <t>LIDKÖPING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46252</v>
      </c>
      <c r="F125" t="inlineStr">
        <is>
          <t>VÄSTRA GÖTALANDS LÄN</t>
        </is>
      </c>
      <c r="G125" t="inlineStr">
        <is>
          <t>LIDKÖPING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46252</v>
      </c>
      <c r="F126" t="inlineStr">
        <is>
          <t>VÄSTRA GÖTALANDS LÄN</t>
        </is>
      </c>
      <c r="G126" t="inlineStr">
        <is>
          <t>LIDKÖPING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46252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45006</v>
      </c>
      <c r="E128" s="1" t="n">
        <v>46252</v>
      </c>
      <c r="F128" t="inlineStr">
        <is>
          <t>VÄSTRA GÖTALANDS LÄN</t>
        </is>
      </c>
      <c r="G128" t="inlineStr">
        <is>
          <t>LIDKÖPING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46252</v>
      </c>
      <c r="F129" t="inlineStr">
        <is>
          <t>VÄSTRA GÖTALANDS LÄN</t>
        </is>
      </c>
      <c r="G129" t="inlineStr">
        <is>
          <t>LIDKÖPING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46252</v>
      </c>
      <c r="F130" t="inlineStr">
        <is>
          <t>VÄSTRA GÖTALANDS LÄN</t>
        </is>
      </c>
      <c r="G130" t="inlineStr">
        <is>
          <t>LIDKÖPING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46252</v>
      </c>
      <c r="F131" t="inlineStr">
        <is>
          <t>VÄSTRA GÖTALANDS LÄN</t>
        </is>
      </c>
      <c r="G131" t="inlineStr">
        <is>
          <t>LIDKÖPING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46252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46050</v>
      </c>
      <c r="E133" s="1" t="n">
        <v>46252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Kyrkan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46252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46252</v>
      </c>
      <c r="F135" t="inlineStr">
        <is>
          <t>VÄSTRA GÖTALANDS LÄN</t>
        </is>
      </c>
      <c r="G135" t="inlineStr">
        <is>
          <t>LIDKÖPING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46252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46061</v>
      </c>
      <c r="E137" s="1" t="n">
        <v>46252</v>
      </c>
      <c r="F137" t="inlineStr">
        <is>
          <t>VÄSTRA GÖTALANDS LÄN</t>
        </is>
      </c>
      <c r="G137" t="inlineStr">
        <is>
          <t>LIDKÖPING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45625</v>
      </c>
      <c r="E138" s="1" t="n">
        <v>46252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46230</v>
      </c>
      <c r="E139" s="1" t="n">
        <v>46252</v>
      </c>
      <c r="F139" t="inlineStr">
        <is>
          <t>VÄSTRA GÖTALANDS LÄN</t>
        </is>
      </c>
      <c r="G139" t="inlineStr">
        <is>
          <t>LIDKÖPING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46231</v>
      </c>
      <c r="E140" s="1" t="n">
        <v>46252</v>
      </c>
      <c r="F140" t="inlineStr">
        <is>
          <t>VÄSTRA GÖTALANDS LÄN</t>
        </is>
      </c>
      <c r="G140" t="inlineStr">
        <is>
          <t>LIDKÖPING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46231</v>
      </c>
      <c r="E141" s="1" t="n">
        <v>46252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46252</v>
      </c>
      <c r="F142" t="inlineStr">
        <is>
          <t>VÄSTRA GÖTALANDS LÄN</t>
        </is>
      </c>
      <c r="G142" t="inlineStr">
        <is>
          <t>LIDKÖPING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46252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46252</v>
      </c>
      <c r="F144" t="inlineStr">
        <is>
          <t>VÄSTRA GÖTALANDS LÄN</t>
        </is>
      </c>
      <c r="G144" t="inlineStr">
        <is>
          <t>LIDKÖPING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46252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46252</v>
      </c>
      <c r="F146" t="inlineStr">
        <is>
          <t>VÄSTRA GÖTALANDS LÄN</t>
        </is>
      </c>
      <c r="G146" t="inlineStr">
        <is>
          <t>LIDKÖPING</t>
        </is>
      </c>
      <c r="I146" t="n">
        <v>17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46252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46252</v>
      </c>
      <c r="F148" t="inlineStr">
        <is>
          <t>VÄSTRA GÖTALANDS LÄN</t>
        </is>
      </c>
      <c r="G148" t="inlineStr">
        <is>
          <t>LIDKÖPING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46252</v>
      </c>
      <c r="F149" t="inlineStr">
        <is>
          <t>VÄSTRA GÖTALANDS LÄN</t>
        </is>
      </c>
      <c r="G149" t="inlineStr">
        <is>
          <t>LIDKÖPING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46252</v>
      </c>
      <c r="F150" t="inlineStr">
        <is>
          <t>VÄSTRA GÖTALANDS LÄN</t>
        </is>
      </c>
      <c r="G150" t="inlineStr">
        <is>
          <t>LIDKÖPING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46252</v>
      </c>
      <c r="F151" t="inlineStr">
        <is>
          <t>VÄSTRA GÖTALANDS LÄN</t>
        </is>
      </c>
      <c r="G151" t="inlineStr">
        <is>
          <t>LIDKÖPING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46252</v>
      </c>
      <c r="F152" t="inlineStr">
        <is>
          <t>VÄSTRA GÖTALANDS LÄN</t>
        </is>
      </c>
      <c r="G152" t="inlineStr">
        <is>
          <t>LIDKÖPING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46120</v>
      </c>
      <c r="E153" s="1" t="n">
        <v>46252</v>
      </c>
      <c r="F153" t="inlineStr">
        <is>
          <t>VÄSTRA GÖTALANDS LÄN</t>
        </is>
      </c>
      <c r="G153" t="inlineStr">
        <is>
          <t>LIDKÖPING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46252</v>
      </c>
      <c r="F154" t="inlineStr">
        <is>
          <t>VÄSTRA GÖTALANDS LÄN</t>
        </is>
      </c>
      <c r="G154" t="inlineStr">
        <is>
          <t>LIDKÖPING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46120</v>
      </c>
      <c r="E155" s="1" t="n">
        <v>46252</v>
      </c>
      <c r="F155" t="inlineStr">
        <is>
          <t>VÄSTRA GÖTALANDS LÄN</t>
        </is>
      </c>
      <c r="G155" t="inlineStr">
        <is>
          <t>LIDKÖPING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46252</v>
      </c>
      <c r="F156" t="inlineStr">
        <is>
          <t>VÄSTRA GÖTALANDS LÄN</t>
        </is>
      </c>
      <c r="G156" t="inlineStr">
        <is>
          <t>LIDKÖPING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46252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46239</v>
      </c>
      <c r="E158" s="1" t="n">
        <v>46252</v>
      </c>
      <c r="F158" t="inlineStr">
        <is>
          <t>VÄSTRA GÖTALANDS LÄN</t>
        </is>
      </c>
      <c r="G158" t="inlineStr">
        <is>
          <t>LIDKÖPING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46239</v>
      </c>
      <c r="E159" s="1" t="n">
        <v>46252</v>
      </c>
      <c r="F159" t="inlineStr">
        <is>
          <t>VÄSTRA GÖTALANDS LÄN</t>
        </is>
      </c>
      <c r="G159" t="inlineStr">
        <is>
          <t>LIDKÖPING</t>
        </is>
      </c>
      <c r="H159" t="inlineStr">
        <is>
          <t>Kyrkan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45153</v>
      </c>
      <c r="E160" s="1" t="n">
        <v>46252</v>
      </c>
      <c r="F160" t="inlineStr">
        <is>
          <t>VÄSTRA GÖTALANDS LÄN</t>
        </is>
      </c>
      <c r="G160" t="inlineStr">
        <is>
          <t>LIDKÖPING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17958-2026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46252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46252</v>
      </c>
      <c r="F162" t="inlineStr">
        <is>
          <t>VÄSTRA GÖTALANDS LÄN</t>
        </is>
      </c>
      <c r="G162" t="inlineStr">
        <is>
          <t>LIDKÖPING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46252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46252</v>
      </c>
      <c r="F164" t="inlineStr">
        <is>
          <t>VÄSTRA GÖTALANDS LÄN</t>
        </is>
      </c>
      <c r="G164" t="inlineStr">
        <is>
          <t>LIDKÖPING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46239</v>
      </c>
      <c r="E165" s="1" t="n">
        <v>46252</v>
      </c>
      <c r="F165" t="inlineStr">
        <is>
          <t>VÄSTRA GÖTALANDS LÄN</t>
        </is>
      </c>
      <c r="G165" t="inlineStr">
        <is>
          <t>LIDKÖPING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46252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46252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46252</v>
      </c>
      <c r="F168" t="inlineStr">
        <is>
          <t>VÄSTRA GÖTALANDS LÄN</t>
        </is>
      </c>
      <c r="G168" t="inlineStr">
        <is>
          <t>LIDKÖPING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46252</v>
      </c>
      <c r="F169" t="inlineStr">
        <is>
          <t>VÄSTRA GÖTALANDS LÄN</t>
        </is>
      </c>
      <c r="G169" t="inlineStr">
        <is>
          <t>LIDKÖPING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46252</v>
      </c>
      <c r="F170" t="inlineStr">
        <is>
          <t>VÄSTRA GÖTALANDS LÄN</t>
        </is>
      </c>
      <c r="G170" t="inlineStr">
        <is>
          <t>LIDKÖPING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45254</v>
      </c>
      <c r="E171" s="1" t="n">
        <v>46252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46252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46252</v>
      </c>
      <c r="F173" t="inlineStr">
        <is>
          <t>VÄSTRA GÖTALANDS LÄN</t>
        </is>
      </c>
      <c r="G173" t="inlineStr">
        <is>
          <t>LIDKÖPING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46252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46244</v>
      </c>
      <c r="E175" s="1" t="n">
        <v>46252</v>
      </c>
      <c r="F175" t="inlineStr">
        <is>
          <t>VÄSTRA GÖTALANDS LÄN</t>
        </is>
      </c>
      <c r="G175" t="inlineStr">
        <is>
          <t>LIDKÖPING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46252</v>
      </c>
      <c r="F176" t="inlineStr">
        <is>
          <t>VÄSTRA GÖTALANDS LÄN</t>
        </is>
      </c>
      <c r="G176" t="inlineStr">
        <is>
          <t>LIDKÖPING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46252</v>
      </c>
      <c r="F177" t="inlineStr">
        <is>
          <t>VÄSTRA GÖTALANDS LÄN</t>
        </is>
      </c>
      <c r="G177" t="inlineStr">
        <is>
          <t>LIDKÖPING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45127</v>
      </c>
      <c r="E178" s="1" t="n">
        <v>46252</v>
      </c>
      <c r="F178" t="inlineStr">
        <is>
          <t>VÄSTRA GÖTALANDS LÄN</t>
        </is>
      </c>
      <c r="G178" t="inlineStr">
        <is>
          <t>LIDKÖPING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46252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46252</v>
      </c>
      <c r="F180" t="inlineStr">
        <is>
          <t>VÄSTRA GÖTALANDS LÄN</t>
        </is>
      </c>
      <c r="G180" t="inlineStr">
        <is>
          <t>LIDKÖPING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46244</v>
      </c>
      <c r="E181" s="1" t="n">
        <v>46252</v>
      </c>
      <c r="F181" t="inlineStr">
        <is>
          <t>VÄSTRA GÖTALANDS LÄN</t>
        </is>
      </c>
      <c r="G181" t="inlineStr">
        <is>
          <t>LIDKÖPING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46252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46252</v>
      </c>
      <c r="F183" t="inlineStr">
        <is>
          <t>VÄSTRA GÖTALANDS LÄN</t>
        </is>
      </c>
      <c r="G183" t="inlineStr">
        <is>
          <t>LIDKÖPING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46252</v>
      </c>
      <c r="F184" t="inlineStr">
        <is>
          <t>VÄSTRA GÖTALANDS LÄN</t>
        </is>
      </c>
      <c r="G184" t="inlineStr">
        <is>
          <t>LIDKÖPING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45527</v>
      </c>
      <c r="E185" s="1" t="n">
        <v>46252</v>
      </c>
      <c r="F185" t="inlineStr">
        <is>
          <t>VÄSTRA GÖTALANDS LÄN</t>
        </is>
      </c>
      <c r="G185" t="inlineStr">
        <is>
          <t>LIDKÖPING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46252</v>
      </c>
      <c r="F186" t="inlineStr">
        <is>
          <t>VÄSTRA GÖTALANDS LÄN</t>
        </is>
      </c>
      <c r="G186" t="inlineStr">
        <is>
          <t>LIDKÖPING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46252</v>
      </c>
      <c r="F187" t="inlineStr">
        <is>
          <t>VÄSTRA GÖTALANDS LÄN</t>
        </is>
      </c>
      <c r="G187" t="inlineStr">
        <is>
          <t>LIDKÖPING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46252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46252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45426</v>
      </c>
      <c r="E190" s="1" t="n">
        <v>46252</v>
      </c>
      <c r="F190" t="inlineStr">
        <is>
          <t>VÄSTRA GÖTALANDS LÄN</t>
        </is>
      </c>
      <c r="G190" t="inlineStr">
        <is>
          <t>LIDKÖPING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46252</v>
      </c>
      <c r="F191" t="inlineStr">
        <is>
          <t>VÄSTRA GÖTALANDS LÄN</t>
        </is>
      </c>
      <c r="G191" t="inlineStr">
        <is>
          <t>LIDKÖPING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46252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46252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46144</v>
      </c>
      <c r="E194" s="1" t="n">
        <v>46252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46001</v>
      </c>
      <c r="E195" s="1" t="n">
        <v>46252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46252</v>
      </c>
      <c r="F196" t="inlineStr">
        <is>
          <t>VÄSTRA GÖTALANDS LÄN</t>
        </is>
      </c>
      <c r="G196" t="inlineStr">
        <is>
          <t>LIDKÖPING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45363</v>
      </c>
      <c r="E197" s="1" t="n">
        <v>46252</v>
      </c>
      <c r="F197" t="inlineStr">
        <is>
          <t>VÄSTRA GÖTALANDS LÄN</t>
        </is>
      </c>
      <c r="G197" t="inlineStr">
        <is>
          <t>LIDKÖPING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46252</v>
      </c>
      <c r="F198" t="inlineStr">
        <is>
          <t>VÄSTRA GÖTALANDS LÄN</t>
        </is>
      </c>
      <c r="G198" t="inlineStr">
        <is>
          <t>LIDKÖPING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46252</v>
      </c>
      <c r="F199" t="inlineStr">
        <is>
          <t>VÄSTRA GÖTALANDS LÄN</t>
        </is>
      </c>
      <c r="G199" t="inlineStr">
        <is>
          <t>LIDKÖPING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46252</v>
      </c>
      <c r="F200" t="inlineStr">
        <is>
          <t>VÄSTRA GÖTALANDS LÄN</t>
        </is>
      </c>
      <c r="G200" t="inlineStr">
        <is>
          <t>LIDKÖPING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46252</v>
      </c>
      <c r="F201" t="inlineStr">
        <is>
          <t>VÄSTRA GÖTALANDS LÄN</t>
        </is>
      </c>
      <c r="G201" t="inlineStr">
        <is>
          <t>LIDKÖPING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46252</v>
      </c>
      <c r="F202" t="inlineStr">
        <is>
          <t>VÄSTRA GÖTALANDS LÄN</t>
        </is>
      </c>
      <c r="G202" t="inlineStr">
        <is>
          <t>LIDKÖPING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46252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45229</v>
      </c>
      <c r="E204" s="1" t="n">
        <v>46252</v>
      </c>
      <c r="F204" t="inlineStr">
        <is>
          <t>VÄSTRA GÖTALANDS LÄN</t>
        </is>
      </c>
      <c r="G204" t="inlineStr">
        <is>
          <t>LIDKÖPING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46252</v>
      </c>
      <c r="F205" t="inlineStr">
        <is>
          <t>VÄSTRA GÖTALANDS LÄN</t>
        </is>
      </c>
      <c r="G205" t="inlineStr">
        <is>
          <t>LIDKÖPING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11563-2025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45727</v>
      </c>
      <c r="E206" s="1" t="n">
        <v>46252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Kommuner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46252</v>
      </c>
      <c r="F207" t="inlineStr">
        <is>
          <t>VÄSTRA GÖTALANDS LÄN</t>
        </is>
      </c>
      <c r="G207" t="inlineStr">
        <is>
          <t>LIDKÖPING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45771</v>
      </c>
      <c r="E208" s="1" t="n">
        <v>46252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58420-2023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45250</v>
      </c>
      <c r="E209" s="1" t="n">
        <v>46252</v>
      </c>
      <c r="F209" t="inlineStr">
        <is>
          <t>VÄSTRA GÖTALANDS LÄN</t>
        </is>
      </c>
      <c r="G209" t="inlineStr">
        <is>
          <t>LIDKÖPING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46252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Kyrkan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46252</v>
      </c>
      <c r="F211" t="inlineStr">
        <is>
          <t>VÄSTRA GÖTALANDS LÄN</t>
        </is>
      </c>
      <c r="G211" t="inlineStr">
        <is>
          <t>LIDKÖPING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3762-2024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45558</v>
      </c>
      <c r="E212" s="1" t="n">
        <v>46252</v>
      </c>
      <c r="F212" t="inlineStr">
        <is>
          <t>VÄSTRA GÖTALANDS LÄN</t>
        </is>
      </c>
      <c r="G212" t="inlineStr">
        <is>
          <t>LIDKÖPING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1807-2022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44656</v>
      </c>
      <c r="E213" s="1" t="n">
        <v>46252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320-2025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45688</v>
      </c>
      <c r="E214" s="1" t="n">
        <v>46252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319-2025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46252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2767-2022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44705</v>
      </c>
      <c r="E216" s="1" t="n">
        <v>46252</v>
      </c>
      <c r="F216" t="inlineStr">
        <is>
          <t>VÄSTRA GÖTALANDS LÄN</t>
        </is>
      </c>
      <c r="G216" t="inlineStr">
        <is>
          <t>LIDKÖPING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2026-08-18T01:45:37Z</dcterms:created>
  <dcterms:modified xmlns:dcterms="http://purl.org/dc/terms/" xmlns:xsi="http://www.w3.org/2001/XMLSchema-instance" xsi:type="dcterms:W3CDTF">2026-08-18T01:45:37Z</dcterms:modified>
</cp:coreProperties>
</file>