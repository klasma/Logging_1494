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46304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46304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46304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46304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46304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46304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46304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46304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46304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46304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46304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46304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46304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46304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46304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37136-2026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46274</v>
      </c>
      <c r="E19" s="1" t="n">
        <v>46304</v>
      </c>
      <c r="F19" t="inlineStr">
        <is>
          <t>VÄSTRA GÖTALANDS LÄN</t>
        </is>
      </c>
      <c r="G19" t="inlineStr">
        <is>
          <t>LIDKÖPING</t>
        </is>
      </c>
      <c r="I19" t="n">
        <v>6.6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HYPERLINK("https://klasma.github.io/Logging_1494/artfynd/A 37136-2026 artfynd.xlsx", "A 37136-2026")</f>
        <v/>
      </c>
      <c r="X19">
        <f>HYPERLINK("https://klasma.github.io/Logging_1494/kartor/A 37136-2026 karta.png", "A 37136-2026")</f>
        <v/>
      </c>
      <c r="Y19">
        <f>HYPERLINK("https://klasma.github.io/Logging_1494/kartor_geotiff/A 37136-2026 georefererad karta.tif", "A 37136-2026")</f>
        <v/>
      </c>
      <c r="AA19">
        <f>HYPERLINK("https://klasma.github.io/Logging_1494/klagomål/A 37136-2026 FSC-klagomål.docx", "A 37136-2026")</f>
        <v/>
      </c>
      <c r="AB19">
        <f>HYPERLINK("https://klasma.github.io/Logging_1494/klagomålsmail/A 37136-2026 FSC-klagomål mail.docx", "A 37136-2026")</f>
        <v/>
      </c>
      <c r="AC19">
        <f>HYPERLINK("https://klasma.github.io/Logging_1494/tillsyn/A 37136-2026 tillsynsbegäran.docx", "A 37136-2026")</f>
        <v/>
      </c>
      <c r="AD19">
        <f>HYPERLINK("https://klasma.github.io/Logging_1494/tillsynsmail/A 37136-2026 tillsynsbegäran mail.docx", "A 37136-2026")</f>
        <v/>
      </c>
      <c r="AE19">
        <f>HYPERLINK("https://klasma.github.io/Logging_1494/fåglar/A 37136-2026 prioriterade fågelarter.docx", "A 37136-2026")</f>
        <v/>
      </c>
    </row>
    <row r="20" ht="15" customHeight="1">
      <c r="A20" t="inlineStr">
        <is>
          <t>A 24352-2025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45797</v>
      </c>
      <c r="E20" s="1" t="n">
        <v>46304</v>
      </c>
      <c r="F20" t="inlineStr">
        <is>
          <t>VÄSTRA GÖTALANDS LÄN</t>
        </is>
      </c>
      <c r="G20" t="inlineStr">
        <is>
          <t>LIDKÖPING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HYPERLINK("https://klasma.github.io/Logging_1494/artfynd/A 24352-2025 artfynd.xlsx", "A 24352-2025")</f>
        <v/>
      </c>
      <c r="X20">
        <f>HYPERLINK("https://klasma.github.io/Logging_1494/kartor/A 24352-2025 karta.png", "A 24352-2025")</f>
        <v/>
      </c>
      <c r="Y20">
        <f>HYPERLINK("https://klasma.github.io/Logging_1494/kartor_geotiff/A 24352-2025 georefererad karta.tif", "A 24352-2025")</f>
        <v/>
      </c>
      <c r="AA20">
        <f>HYPERLINK("https://klasma.github.io/Logging_1494/klagomål/A 24352-2025 FSC-klagomål.docx", "A 24352-2025")</f>
        <v/>
      </c>
      <c r="AB20">
        <f>HYPERLINK("https://klasma.github.io/Logging_1494/klagomålsmail/A 24352-2025 FSC-klagomål mail.docx", "A 24352-2025")</f>
        <v/>
      </c>
      <c r="AC20">
        <f>HYPERLINK("https://klasma.github.io/Logging_1494/tillsyn/A 24352-2025 tillsynsbegäran.docx", "A 24352-2025")</f>
        <v/>
      </c>
      <c r="AD20">
        <f>HYPERLINK("https://klasma.github.io/Logging_1494/tillsynsmail/A 24352-2025 tillsynsbegäran mail.docx", "A 24352-2025")</f>
        <v/>
      </c>
      <c r="AE20">
        <f>HYPERLINK("https://klasma.github.io/Logging_1494/fåglar/A 24352-2025 prioriterade fågelarter.docx", "A 24352-2025")</f>
        <v/>
      </c>
    </row>
    <row r="21" ht="15" customHeight="1">
      <c r="A21" t="inlineStr">
        <is>
          <t>A 62629-2022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44925</v>
      </c>
      <c r="E21" s="1" t="n">
        <v>46304</v>
      </c>
      <c r="F21" t="inlineStr">
        <is>
          <t>VÄSTRA GÖTALANDS LÄN</t>
        </is>
      </c>
      <c r="G21" t="inlineStr">
        <is>
          <t>LIDKÖPING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HYPERLINK("https://klasma.github.io/Logging_1494/artfynd/A 62629-2022 artfynd.xlsx", "A 62629-2022")</f>
        <v/>
      </c>
      <c r="X21">
        <f>HYPERLINK("https://klasma.github.io/Logging_1494/kartor/A 62629-2022 karta.png", "A 62629-2022")</f>
        <v/>
      </c>
      <c r="Y21">
        <f>HYPERLINK("https://klasma.github.io/Logging_1494/kartor_geotiff/A 62629-2022 georefererad karta.tif", "A 62629-2022")</f>
        <v/>
      </c>
      <c r="AA21">
        <f>HYPERLINK("https://klasma.github.io/Logging_1494/klagomål/A 62629-2022 FSC-klagomål.docx", "A 62629-2022")</f>
        <v/>
      </c>
      <c r="AB21">
        <f>HYPERLINK("https://klasma.github.io/Logging_1494/klagomålsmail/A 62629-2022 FSC-klagomål mail.docx", "A 62629-2022")</f>
        <v/>
      </c>
      <c r="AC21">
        <f>HYPERLINK("https://klasma.github.io/Logging_1494/tillsyn/A 62629-2022 tillsynsbegäran.docx", "A 62629-2022")</f>
        <v/>
      </c>
      <c r="AD21">
        <f>HYPERLINK("https://klasma.github.io/Logging_1494/tillsynsmail/A 62629-2022 tillsynsbegäran mail.docx", "A 62629-2022")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46304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46304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46304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46304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46304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46304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46304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46304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46304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46304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46304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46304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46304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46304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46304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46304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46304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46304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46304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46304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46304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46304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46304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46304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46304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46304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46304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46304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45623</v>
      </c>
      <c r="E50" s="1" t="n">
        <v>46304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46304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46304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63778-2023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45278</v>
      </c>
      <c r="E53" s="1" t="n">
        <v>46304</v>
      </c>
      <c r="F53" t="inlineStr">
        <is>
          <t>VÄSTRA GÖTALANDS LÄN</t>
        </is>
      </c>
      <c r="G53" t="inlineStr">
        <is>
          <t>LIDKÖPING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44819</v>
      </c>
      <c r="E54" s="1" t="n">
        <v>46304</v>
      </c>
      <c r="F54" t="inlineStr">
        <is>
          <t>VÄSTRA GÖTALANDS LÄN</t>
        </is>
      </c>
      <c r="G54" t="inlineStr">
        <is>
          <t>LIDKÖPING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46304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45670</v>
      </c>
      <c r="E56" s="1" t="n">
        <v>46304</v>
      </c>
      <c r="F56" t="inlineStr">
        <is>
          <t>VÄSTRA GÖTALANDS LÄN</t>
        </is>
      </c>
      <c r="G56" t="inlineStr">
        <is>
          <t>LIDKÖPING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46304</v>
      </c>
      <c r="F57" t="inlineStr">
        <is>
          <t>VÄSTRA GÖTALANDS LÄN</t>
        </is>
      </c>
      <c r="G57" t="inlineStr">
        <is>
          <t>LIDKÖPING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44806</v>
      </c>
      <c r="E58" s="1" t="n">
        <v>46304</v>
      </c>
      <c r="F58" t="inlineStr">
        <is>
          <t>VÄSTRA GÖTALANDS LÄN</t>
        </is>
      </c>
      <c r="G58" t="inlineStr">
        <is>
          <t>LIDKÖPING</t>
        </is>
      </c>
      <c r="I58" t="n">
        <v>17.4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46304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46304</v>
      </c>
      <c r="F60" t="inlineStr">
        <is>
          <t>VÄSTRA GÖTALANDS LÄN</t>
        </is>
      </c>
      <c r="G60" t="inlineStr">
        <is>
          <t>LIDKÖPING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45837</v>
      </c>
      <c r="E61" s="1" t="n">
        <v>46304</v>
      </c>
      <c r="F61" t="inlineStr">
        <is>
          <t>VÄSTRA GÖTALANDS LÄN</t>
        </is>
      </c>
      <c r="G61" t="inlineStr">
        <is>
          <t>LIDKÖPING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59068-2023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45252</v>
      </c>
      <c r="E62" s="1" t="n">
        <v>46304</v>
      </c>
      <c r="F62" t="inlineStr">
        <is>
          <t>VÄSTRA GÖTALANDS LÄN</t>
        </is>
      </c>
      <c r="G62" t="inlineStr">
        <is>
          <t>LIDKÖPING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45252</v>
      </c>
      <c r="E63" s="1" t="n">
        <v>46304</v>
      </c>
      <c r="F63" t="inlineStr">
        <is>
          <t>VÄSTRA GÖTALANDS LÄN</t>
        </is>
      </c>
      <c r="G63" t="inlineStr">
        <is>
          <t>LIDKÖPING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46304</v>
      </c>
      <c r="F64" t="inlineStr">
        <is>
          <t>VÄSTRA GÖTALANDS LÄN</t>
        </is>
      </c>
      <c r="G64" t="inlineStr">
        <is>
          <t>LIDKÖPING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46304</v>
      </c>
      <c r="F65" t="inlineStr">
        <is>
          <t>VÄSTRA GÖTALANDS LÄN</t>
        </is>
      </c>
      <c r="G65" t="inlineStr">
        <is>
          <t>LIDKÖPING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45601</v>
      </c>
      <c r="E66" s="1" t="n">
        <v>46304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25762-2023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45090</v>
      </c>
      <c r="E67" s="1" t="n">
        <v>46304</v>
      </c>
      <c r="F67" t="inlineStr">
        <is>
          <t>VÄSTRA GÖTALANDS LÄN</t>
        </is>
      </c>
      <c r="G67" t="inlineStr">
        <is>
          <t>LIDKÖPING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45125</v>
      </c>
      <c r="E68" s="1" t="n">
        <v>46304</v>
      </c>
      <c r="F68" t="inlineStr">
        <is>
          <t>VÄSTRA GÖTALANDS LÄN</t>
        </is>
      </c>
      <c r="G68" t="inlineStr">
        <is>
          <t>LIDKÖPING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45867</v>
      </c>
      <c r="E69" s="1" t="n">
        <v>46304</v>
      </c>
      <c r="F69" t="inlineStr">
        <is>
          <t>VÄSTRA GÖTALANDS LÄN</t>
        </is>
      </c>
      <c r="G69" t="inlineStr">
        <is>
          <t>LIDKÖPING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37195-2025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45875</v>
      </c>
      <c r="E70" s="1" t="n">
        <v>46304</v>
      </c>
      <c r="F70" t="inlineStr">
        <is>
          <t>VÄSTRA GÖTALANDS LÄN</t>
        </is>
      </c>
      <c r="G70" t="inlineStr">
        <is>
          <t>LIDKÖPING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43445-2023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45184</v>
      </c>
      <c r="E71" s="1" t="n">
        <v>46304</v>
      </c>
      <c r="F71" t="inlineStr">
        <is>
          <t>VÄSTRA GÖTALANDS LÄN</t>
        </is>
      </c>
      <c r="G71" t="inlineStr">
        <is>
          <t>LIDKÖPING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46304</v>
      </c>
      <c r="F72" t="inlineStr">
        <is>
          <t>VÄSTRA GÖTALANDS LÄN</t>
        </is>
      </c>
      <c r="G72" t="inlineStr">
        <is>
          <t>LIDKÖPING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61312-2023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46304</v>
      </c>
      <c r="F73" t="inlineStr">
        <is>
          <t>VÄSTRA GÖTALANDS LÄN</t>
        </is>
      </c>
      <c r="G73" t="inlineStr">
        <is>
          <t>LIDKÖPING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46304</v>
      </c>
      <c r="F74" t="inlineStr">
        <is>
          <t>VÄSTRA GÖTALANDS LÄN</t>
        </is>
      </c>
      <c r="G74" t="inlineStr">
        <is>
          <t>LIDKÖPING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46304</v>
      </c>
      <c r="F75" t="inlineStr">
        <is>
          <t>VÄSTRA GÖTALANDS LÄN</t>
        </is>
      </c>
      <c r="G75" t="inlineStr">
        <is>
          <t>LIDKÖPING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44642</v>
      </c>
      <c r="E76" s="1" t="n">
        <v>46304</v>
      </c>
      <c r="F76" t="inlineStr">
        <is>
          <t>VÄSTRA GÖTALANDS LÄN</t>
        </is>
      </c>
      <c r="G76" t="inlineStr">
        <is>
          <t>LIDKÖPING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46304</v>
      </c>
      <c r="F77" t="inlineStr">
        <is>
          <t>VÄSTRA GÖTALANDS LÄN</t>
        </is>
      </c>
      <c r="G77" t="inlineStr">
        <is>
          <t>LIDKÖPING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44998</v>
      </c>
      <c r="E78" s="1" t="n">
        <v>46304</v>
      </c>
      <c r="F78" t="inlineStr">
        <is>
          <t>VÄSTRA GÖTALANDS LÄN</t>
        </is>
      </c>
      <c r="G78" t="inlineStr">
        <is>
          <t>LIDKÖPING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46304</v>
      </c>
      <c r="F79" t="inlineStr">
        <is>
          <t>VÄSTRA GÖTALANDS LÄN</t>
        </is>
      </c>
      <c r="G79" t="inlineStr">
        <is>
          <t>LIDKÖPING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46304</v>
      </c>
      <c r="F80" t="inlineStr">
        <is>
          <t>VÄSTRA GÖTALANDS LÄN</t>
        </is>
      </c>
      <c r="G80" t="inlineStr">
        <is>
          <t>LIDKÖPING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46304</v>
      </c>
      <c r="F81" t="inlineStr">
        <is>
          <t>VÄSTRA GÖTALANDS LÄN</t>
        </is>
      </c>
      <c r="G81" t="inlineStr">
        <is>
          <t>LIDKÖPING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17533-2026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46120</v>
      </c>
      <c r="E82" s="1" t="n">
        <v>46304</v>
      </c>
      <c r="F82" t="inlineStr">
        <is>
          <t>VÄSTRA GÖTALANDS LÄN</t>
        </is>
      </c>
      <c r="G82" t="inlineStr">
        <is>
          <t>LIDKÖPING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46304</v>
      </c>
      <c r="F83" t="inlineStr">
        <is>
          <t>VÄSTRA GÖTALANDS LÄN</t>
        </is>
      </c>
      <c r="G83" t="inlineStr">
        <is>
          <t>LIDKÖPING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17495-2026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46120</v>
      </c>
      <c r="E84" s="1" t="n">
        <v>46304</v>
      </c>
      <c r="F84" t="inlineStr">
        <is>
          <t>VÄSTRA GÖTALANDS LÄN</t>
        </is>
      </c>
      <c r="G84" t="inlineStr">
        <is>
          <t>LIDKÖPING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46304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46304</v>
      </c>
      <c r="F86" t="inlineStr">
        <is>
          <t>VÄSTRA GÖTALANDS LÄN</t>
        </is>
      </c>
      <c r="G86" t="inlineStr">
        <is>
          <t>LIDKÖPING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46304</v>
      </c>
      <c r="F87" t="inlineStr">
        <is>
          <t>VÄSTRA GÖTALANDS LÄN</t>
        </is>
      </c>
      <c r="G87" t="inlineStr">
        <is>
          <t>LIDKÖPING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46304</v>
      </c>
      <c r="F88" t="inlineStr">
        <is>
          <t>VÄSTRA GÖTALANDS LÄN</t>
        </is>
      </c>
      <c r="G88" t="inlineStr">
        <is>
          <t>LIDKÖPING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45660</v>
      </c>
      <c r="E89" s="1" t="n">
        <v>46304</v>
      </c>
      <c r="F89" t="inlineStr">
        <is>
          <t>VÄSTRA GÖTALANDS LÄN</t>
        </is>
      </c>
      <c r="G89" t="inlineStr">
        <is>
          <t>LIDKÖPING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46304</v>
      </c>
      <c r="F90" t="inlineStr">
        <is>
          <t>VÄSTRA GÖTALANDS LÄN</t>
        </is>
      </c>
      <c r="G90" t="inlineStr">
        <is>
          <t>LIDKÖPING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45706</v>
      </c>
      <c r="E91" s="1" t="n">
        <v>46304</v>
      </c>
      <c r="F91" t="inlineStr">
        <is>
          <t>VÄSTRA GÖTALANDS LÄN</t>
        </is>
      </c>
      <c r="G91" t="inlineStr">
        <is>
          <t>LIDKÖPING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18834-2026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46129</v>
      </c>
      <c r="E92" s="1" t="n">
        <v>46304</v>
      </c>
      <c r="F92" t="inlineStr">
        <is>
          <t>VÄSTRA GÖTALANDS LÄN</t>
        </is>
      </c>
      <c r="G92" t="inlineStr">
        <is>
          <t>LIDKÖPING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45672</v>
      </c>
      <c r="E93" s="1" t="n">
        <v>46304</v>
      </c>
      <c r="F93" t="inlineStr">
        <is>
          <t>VÄSTRA GÖTALANDS LÄN</t>
        </is>
      </c>
      <c r="G93" t="inlineStr">
        <is>
          <t>LIDKÖPING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46129</v>
      </c>
      <c r="E94" s="1" t="n">
        <v>46304</v>
      </c>
      <c r="F94" t="inlineStr">
        <is>
          <t>VÄSTRA GÖTALANDS LÄN</t>
        </is>
      </c>
      <c r="G94" t="inlineStr">
        <is>
          <t>LIDKÖPING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62527-2021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46304</v>
      </c>
      <c r="F95" t="inlineStr">
        <is>
          <t>VÄSTRA GÖTALANDS LÄN</t>
        </is>
      </c>
      <c r="G95" t="inlineStr">
        <is>
          <t>LIDKÖPING</t>
        </is>
      </c>
      <c r="I95" t="n">
        <v>22.6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46304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45529</v>
      </c>
      <c r="E97" s="1" t="n">
        <v>46304</v>
      </c>
      <c r="F97" t="inlineStr">
        <is>
          <t>VÄSTRA GÖTALANDS LÄN</t>
        </is>
      </c>
      <c r="G97" t="inlineStr">
        <is>
          <t>LIDKÖPING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46304</v>
      </c>
      <c r="F98" t="inlineStr">
        <is>
          <t>VÄSTRA GÖTALANDS LÄN</t>
        </is>
      </c>
      <c r="G98" t="inlineStr">
        <is>
          <t>LIDKÖPING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45623</v>
      </c>
      <c r="E99" s="1" t="n">
        <v>46304</v>
      </c>
      <c r="F99" t="inlineStr">
        <is>
          <t>VÄSTRA GÖTALANDS LÄN</t>
        </is>
      </c>
      <c r="G99" t="inlineStr">
        <is>
          <t>LIDKÖPING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45672</v>
      </c>
      <c r="E100" s="1" t="n">
        <v>46304</v>
      </c>
      <c r="F100" t="inlineStr">
        <is>
          <t>VÄSTRA GÖTALANDS LÄN</t>
        </is>
      </c>
      <c r="G100" t="inlineStr">
        <is>
          <t>LIDKÖPING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46304</v>
      </c>
      <c r="F101" t="inlineStr">
        <is>
          <t>VÄSTRA GÖTALANDS LÄN</t>
        </is>
      </c>
      <c r="G101" t="inlineStr">
        <is>
          <t>LIDKÖPING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45943</v>
      </c>
      <c r="E102" s="1" t="n">
        <v>46304</v>
      </c>
      <c r="F102" t="inlineStr">
        <is>
          <t>VÄSTRA GÖTALANDS LÄN</t>
        </is>
      </c>
      <c r="G102" t="inlineStr">
        <is>
          <t>LIDKÖPING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46304</v>
      </c>
      <c r="F103" t="inlineStr">
        <is>
          <t>VÄSTRA GÖTALANDS LÄN</t>
        </is>
      </c>
      <c r="G103" t="inlineStr">
        <is>
          <t>LIDKÖPING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46304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46304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46304</v>
      </c>
      <c r="F106" t="inlineStr">
        <is>
          <t>VÄSTRA GÖTALANDS LÄN</t>
        </is>
      </c>
      <c r="G106" t="inlineStr">
        <is>
          <t>LIDKÖPING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46304</v>
      </c>
      <c r="F107" t="inlineStr">
        <is>
          <t>VÄSTRA GÖTALANDS LÄN</t>
        </is>
      </c>
      <c r="G107" t="inlineStr">
        <is>
          <t>LIDKÖPING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46304</v>
      </c>
      <c r="F108" t="inlineStr">
        <is>
          <t>VÄSTRA GÖTALANDS LÄN</t>
        </is>
      </c>
      <c r="G108" t="inlineStr">
        <is>
          <t>LIDKÖPING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44967</v>
      </c>
      <c r="E109" s="1" t="n">
        <v>46304</v>
      </c>
      <c r="F109" t="inlineStr">
        <is>
          <t>VÄSTRA GÖTALANDS LÄN</t>
        </is>
      </c>
      <c r="G109" t="inlineStr">
        <is>
          <t>LIDKÖPING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46304</v>
      </c>
      <c r="F110" t="inlineStr">
        <is>
          <t>VÄSTRA GÖTALANDS LÄN</t>
        </is>
      </c>
      <c r="G110" t="inlineStr">
        <is>
          <t>LIDKÖPING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46304</v>
      </c>
      <c r="F111" t="inlineStr">
        <is>
          <t>VÄSTRA GÖTALANDS LÄN</t>
        </is>
      </c>
      <c r="G111" t="inlineStr">
        <is>
          <t>LIDKÖPING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45233</v>
      </c>
      <c r="E112" s="1" t="n">
        <v>46304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54279-2023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45232</v>
      </c>
      <c r="E113" s="1" t="n">
        <v>46304</v>
      </c>
      <c r="F113" t="inlineStr">
        <is>
          <t>VÄSTRA GÖTALANDS LÄN</t>
        </is>
      </c>
      <c r="G113" t="inlineStr">
        <is>
          <t>LIDKÖPING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46304</v>
      </c>
      <c r="F114" t="inlineStr">
        <is>
          <t>VÄSTRA GÖTALANDS LÄN</t>
        </is>
      </c>
      <c r="G114" t="inlineStr">
        <is>
          <t>LIDKÖPING</t>
        </is>
      </c>
      <c r="H114" t="inlineStr">
        <is>
          <t>Kommuner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45623</v>
      </c>
      <c r="E115" s="1" t="n">
        <v>46304</v>
      </c>
      <c r="F115" t="inlineStr">
        <is>
          <t>VÄSTRA GÖTALANDS LÄN</t>
        </is>
      </c>
      <c r="G115" t="inlineStr">
        <is>
          <t>LIDKÖPING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46304</v>
      </c>
      <c r="F116" t="inlineStr">
        <is>
          <t>VÄSTRA GÖTALANDS LÄN</t>
        </is>
      </c>
      <c r="G116" t="inlineStr">
        <is>
          <t>LIDKÖPING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25322-2024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46304</v>
      </c>
      <c r="F117" t="inlineStr">
        <is>
          <t>VÄSTRA GÖTALANDS LÄN</t>
        </is>
      </c>
      <c r="G117" t="inlineStr">
        <is>
          <t>LIDKÖPING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45776</v>
      </c>
      <c r="E118" s="1" t="n">
        <v>46304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46304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Kyrkan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45506</v>
      </c>
      <c r="E120" s="1" t="n">
        <v>46304</v>
      </c>
      <c r="F120" t="inlineStr">
        <is>
          <t>VÄSTRA GÖTALANDS LÄN</t>
        </is>
      </c>
      <c r="G120" t="inlineStr">
        <is>
          <t>LIDKÖPING</t>
        </is>
      </c>
      <c r="H120" t="inlineStr">
        <is>
          <t>Kommuner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45226</v>
      </c>
      <c r="E121" s="1" t="n">
        <v>46304</v>
      </c>
      <c r="F121" t="inlineStr">
        <is>
          <t>VÄSTRA GÖTALANDS LÄN</t>
        </is>
      </c>
      <c r="G121" t="inlineStr">
        <is>
          <t>LIDKÖPING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45797</v>
      </c>
      <c r="E122" s="1" t="n">
        <v>46304</v>
      </c>
      <c r="F122" t="inlineStr">
        <is>
          <t>VÄSTRA GÖTALANDS LÄN</t>
        </is>
      </c>
      <c r="G122" t="inlineStr">
        <is>
          <t>LIDKÖPING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45229</v>
      </c>
      <c r="E123" s="1" t="n">
        <v>46304</v>
      </c>
      <c r="F123" t="inlineStr">
        <is>
          <t>VÄSTRA GÖTALANDS LÄN</t>
        </is>
      </c>
      <c r="G123" t="inlineStr">
        <is>
          <t>LIDKÖPING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46072</v>
      </c>
      <c r="E124" s="1" t="n">
        <v>46304</v>
      </c>
      <c r="F124" t="inlineStr">
        <is>
          <t>VÄSTRA GÖTALANDS LÄN</t>
        </is>
      </c>
      <c r="G124" t="inlineStr">
        <is>
          <t>LIDKÖPING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45084</v>
      </c>
      <c r="E125" s="1" t="n">
        <v>46304</v>
      </c>
      <c r="F125" t="inlineStr">
        <is>
          <t>VÄSTRA GÖTALANDS LÄN</t>
        </is>
      </c>
      <c r="G125" t="inlineStr">
        <is>
          <t>LIDKÖPING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46144</v>
      </c>
      <c r="E126" s="1" t="n">
        <v>46304</v>
      </c>
      <c r="F126" t="inlineStr">
        <is>
          <t>VÄSTRA GÖTALANDS LÄN</t>
        </is>
      </c>
      <c r="G126" t="inlineStr">
        <is>
          <t>LIDKÖPING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52853-2023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46304</v>
      </c>
      <c r="F127" t="inlineStr">
        <is>
          <t>VÄSTRA GÖTALANDS LÄN</t>
        </is>
      </c>
      <c r="G127" t="inlineStr">
        <is>
          <t>LIDKÖPING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46304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Kyrkan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45702</v>
      </c>
      <c r="E129" s="1" t="n">
        <v>46304</v>
      </c>
      <c r="F129" t="inlineStr">
        <is>
          <t>VÄSTRA GÖTALANDS LÄN</t>
        </is>
      </c>
      <c r="G129" t="inlineStr">
        <is>
          <t>LIDKÖPING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45120</v>
      </c>
      <c r="E130" s="1" t="n">
        <v>46304</v>
      </c>
      <c r="F130" t="inlineStr">
        <is>
          <t>VÄSTRA GÖTALANDS LÄN</t>
        </is>
      </c>
      <c r="G130" t="inlineStr">
        <is>
          <t>LIDKÖPING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46304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6080-2023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44964</v>
      </c>
      <c r="E132" s="1" t="n">
        <v>46304</v>
      </c>
      <c r="F132" t="inlineStr">
        <is>
          <t>VÄSTRA GÖTALANDS LÄN</t>
        </is>
      </c>
      <c r="G132" t="inlineStr">
        <is>
          <t>LIDKÖPING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46304</v>
      </c>
      <c r="F133" t="inlineStr">
        <is>
          <t>VÄSTRA GÖTALANDS LÄN</t>
        </is>
      </c>
      <c r="G133" t="inlineStr">
        <is>
          <t>LIDKÖPING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46304</v>
      </c>
      <c r="F134" t="inlineStr">
        <is>
          <t>VÄSTRA GÖTALANDS LÄN</t>
        </is>
      </c>
      <c r="G134" t="inlineStr">
        <is>
          <t>LIDKÖPING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44960</v>
      </c>
      <c r="E135" s="1" t="n">
        <v>46304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46304</v>
      </c>
      <c r="F136" t="inlineStr">
        <is>
          <t>VÄSTRA GÖTALANDS LÄN</t>
        </is>
      </c>
      <c r="G136" t="inlineStr">
        <is>
          <t>LIDKÖPING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46304</v>
      </c>
      <c r="F137" t="inlineStr">
        <is>
          <t>VÄSTRA GÖTALANDS LÄN</t>
        </is>
      </c>
      <c r="G137" t="inlineStr">
        <is>
          <t>LIDKÖPING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44851</v>
      </c>
      <c r="E138" s="1" t="n">
        <v>46304</v>
      </c>
      <c r="F138" t="inlineStr">
        <is>
          <t>VÄSTRA GÖTALANDS LÄN</t>
        </is>
      </c>
      <c r="G138" t="inlineStr">
        <is>
          <t>LIDKÖPING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45006</v>
      </c>
      <c r="E139" s="1" t="n">
        <v>46304</v>
      </c>
      <c r="F139" t="inlineStr">
        <is>
          <t>VÄSTRA GÖTALANDS LÄN</t>
        </is>
      </c>
      <c r="G139" t="inlineStr">
        <is>
          <t>LIDKÖPING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46304</v>
      </c>
      <c r="F140" t="inlineStr">
        <is>
          <t>VÄSTRA GÖTALANDS LÄN</t>
        </is>
      </c>
      <c r="G140" t="inlineStr">
        <is>
          <t>LIDKÖPING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45623</v>
      </c>
      <c r="E141" s="1" t="n">
        <v>46304</v>
      </c>
      <c r="F141" t="inlineStr">
        <is>
          <t>VÄSTRA GÖTALANDS LÄN</t>
        </is>
      </c>
      <c r="G141" t="inlineStr">
        <is>
          <t>LIDKÖPING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46304</v>
      </c>
      <c r="F142" t="inlineStr">
        <is>
          <t>VÄSTRA GÖTALANDS LÄN</t>
        </is>
      </c>
      <c r="G142" t="inlineStr">
        <is>
          <t>LIDKÖPING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46304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45506</v>
      </c>
      <c r="E144" s="1" t="n">
        <v>46304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Kommuner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46304</v>
      </c>
      <c r="F145" t="inlineStr">
        <is>
          <t>VÄSTRA GÖTALANDS LÄN</t>
        </is>
      </c>
      <c r="G145" t="inlineStr">
        <is>
          <t>LIDKÖPING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46171</v>
      </c>
      <c r="E146" s="1" t="n">
        <v>46304</v>
      </c>
      <c r="F146" t="inlineStr">
        <is>
          <t>VÄSTRA GÖTALANDS LÄN</t>
        </is>
      </c>
      <c r="G146" t="inlineStr">
        <is>
          <t>LIDKÖPING</t>
        </is>
      </c>
      <c r="H146" t="inlineStr">
        <is>
          <t>Kyrkan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33654-2022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44789</v>
      </c>
      <c r="E147" s="1" t="n">
        <v>46304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62551-2021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46304</v>
      </c>
      <c r="F148" t="inlineStr">
        <is>
          <t>VÄSTRA GÖTALANDS LÄN</t>
        </is>
      </c>
      <c r="G148" t="inlineStr">
        <is>
          <t>LIDKÖPING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46304</v>
      </c>
      <c r="F149" t="inlineStr">
        <is>
          <t>VÄSTRA GÖTALANDS LÄN</t>
        </is>
      </c>
      <c r="G149" t="inlineStr">
        <is>
          <t>LIDKÖPING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56542-2024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45625</v>
      </c>
      <c r="E150" s="1" t="n">
        <v>46304</v>
      </c>
      <c r="F150" t="inlineStr">
        <is>
          <t>VÄSTRA GÖTALANDS LÄN</t>
        </is>
      </c>
      <c r="G150" t="inlineStr">
        <is>
          <t>LIDKÖPING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46304</v>
      </c>
      <c r="F151" t="inlineStr">
        <is>
          <t>VÄSTRA GÖTALANDS LÄN</t>
        </is>
      </c>
      <c r="G151" t="inlineStr">
        <is>
          <t>LIDKÖPING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46304</v>
      </c>
      <c r="F152" t="inlineStr">
        <is>
          <t>VÄSTRA GÖTALANDS LÄN</t>
        </is>
      </c>
      <c r="G152" t="inlineStr">
        <is>
          <t>LIDKÖPING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45366</v>
      </c>
      <c r="E153" s="1" t="n">
        <v>46304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46304</v>
      </c>
      <c r="F154" t="inlineStr">
        <is>
          <t>VÄSTRA GÖTALANDS LÄN</t>
        </is>
      </c>
      <c r="G154" t="inlineStr">
        <is>
          <t>LIDKÖPING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46304</v>
      </c>
      <c r="F155" t="inlineStr">
        <is>
          <t>VÄSTRA GÖTALANDS LÄN</t>
        </is>
      </c>
      <c r="G155" t="inlineStr">
        <is>
          <t>LIDKÖPING</t>
        </is>
      </c>
      <c r="I155" t="n">
        <v>17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46304</v>
      </c>
      <c r="F156" t="inlineStr">
        <is>
          <t>VÄSTRA GÖTALANDS LÄN</t>
        </is>
      </c>
      <c r="G156" t="inlineStr">
        <is>
          <t>LIDKÖPING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45622</v>
      </c>
      <c r="E157" s="1" t="n">
        <v>46304</v>
      </c>
      <c r="F157" t="inlineStr">
        <is>
          <t>VÄSTRA GÖTALANDS LÄN</t>
        </is>
      </c>
      <c r="G157" t="inlineStr">
        <is>
          <t>LIDKÖPING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46304</v>
      </c>
      <c r="F158" t="inlineStr">
        <is>
          <t>VÄSTRA GÖTALANDS LÄN</t>
        </is>
      </c>
      <c r="G158" t="inlineStr">
        <is>
          <t>LIDKÖPING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28068-2026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46304</v>
      </c>
      <c r="F159" t="inlineStr">
        <is>
          <t>VÄSTRA GÖTALANDS LÄN</t>
        </is>
      </c>
      <c r="G159" t="inlineStr">
        <is>
          <t>LIDKÖPING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46195</v>
      </c>
      <c r="E160" s="1" t="n">
        <v>46304</v>
      </c>
      <c r="F160" t="inlineStr">
        <is>
          <t>VÄSTRA GÖTALANDS LÄN</t>
        </is>
      </c>
      <c r="G160" t="inlineStr">
        <is>
          <t>LIDKÖPING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46304</v>
      </c>
      <c r="F161" t="inlineStr">
        <is>
          <t>VÄSTRA GÖTALANDS LÄN</t>
        </is>
      </c>
      <c r="G161" t="inlineStr">
        <is>
          <t>LIDKÖPING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45174</v>
      </c>
      <c r="E162" s="1" t="n">
        <v>46304</v>
      </c>
      <c r="F162" t="inlineStr">
        <is>
          <t>VÄSTRA GÖTALANDS LÄN</t>
        </is>
      </c>
      <c r="G162" t="inlineStr">
        <is>
          <t>LIDKÖPING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46304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46304</v>
      </c>
      <c r="F164" t="inlineStr">
        <is>
          <t>VÄSTRA GÖTALANDS LÄN</t>
        </is>
      </c>
      <c r="G164" t="inlineStr">
        <is>
          <t>LIDKÖPING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62541-2021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46304</v>
      </c>
      <c r="F165" t="inlineStr">
        <is>
          <t>VÄSTRA GÖTALANDS LÄN</t>
        </is>
      </c>
      <c r="G165" t="inlineStr">
        <is>
          <t>LIDKÖPING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46304</v>
      </c>
      <c r="F166" t="inlineStr">
        <is>
          <t>VÄSTRA GÖTALANDS LÄN</t>
        </is>
      </c>
      <c r="G166" t="inlineStr">
        <is>
          <t>LIDKÖPING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46304</v>
      </c>
      <c r="F167" t="inlineStr">
        <is>
          <t>VÄSTRA GÖTALANDS LÄN</t>
        </is>
      </c>
      <c r="G167" t="inlineStr">
        <is>
          <t>LIDKÖPING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46304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45625</v>
      </c>
      <c r="E169" s="1" t="n">
        <v>46304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46304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45554</v>
      </c>
      <c r="E171" s="1" t="n">
        <v>46304</v>
      </c>
      <c r="F171" t="inlineStr">
        <is>
          <t>VÄSTRA GÖTALANDS LÄN</t>
        </is>
      </c>
      <c r="G171" t="inlineStr">
        <is>
          <t>LIDKÖPING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45127</v>
      </c>
      <c r="E172" s="1" t="n">
        <v>46304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46304</v>
      </c>
      <c r="F173" t="inlineStr">
        <is>
          <t>VÄSTRA GÖTALANDS LÄN</t>
        </is>
      </c>
      <c r="G173" t="inlineStr">
        <is>
          <t>LIDKÖPING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46304</v>
      </c>
      <c r="F174" t="inlineStr">
        <is>
          <t>VÄSTRA GÖTALANDS LÄN</t>
        </is>
      </c>
      <c r="G174" t="inlineStr">
        <is>
          <t>LIDKÖPING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46273</v>
      </c>
      <c r="E175" s="1" t="n">
        <v>46304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45006</v>
      </c>
      <c r="E176" s="1" t="n">
        <v>46304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36716-2026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46304</v>
      </c>
      <c r="F177" t="inlineStr">
        <is>
          <t>VÄSTRA GÖTALANDS LÄN</t>
        </is>
      </c>
      <c r="G177" t="inlineStr">
        <is>
          <t>LIDKÖPING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45527</v>
      </c>
      <c r="E178" s="1" t="n">
        <v>46304</v>
      </c>
      <c r="F178" t="inlineStr">
        <is>
          <t>VÄSTRA GÖTALANDS LÄN</t>
        </is>
      </c>
      <c r="G178" t="inlineStr">
        <is>
          <t>LIDKÖPING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46304</v>
      </c>
      <c r="F179" t="inlineStr">
        <is>
          <t>VÄSTRA GÖTALANDS LÄN</t>
        </is>
      </c>
      <c r="G179" t="inlineStr">
        <is>
          <t>LIDKÖPING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46304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45426</v>
      </c>
      <c r="E181" s="1" t="n">
        <v>46304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46230</v>
      </c>
      <c r="E182" s="1" t="n">
        <v>46304</v>
      </c>
      <c r="F182" t="inlineStr">
        <is>
          <t>VÄSTRA GÖTALANDS LÄN</t>
        </is>
      </c>
      <c r="G182" t="inlineStr">
        <is>
          <t>LIDKÖPING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45244</v>
      </c>
      <c r="E183" s="1" t="n">
        <v>46304</v>
      </c>
      <c r="F183" t="inlineStr">
        <is>
          <t>VÄSTRA GÖTALANDS LÄN</t>
        </is>
      </c>
      <c r="G183" t="inlineStr">
        <is>
          <t>LIDKÖPING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46304</v>
      </c>
      <c r="F184" t="inlineStr">
        <is>
          <t>VÄSTRA GÖTALANDS LÄN</t>
        </is>
      </c>
      <c r="G184" t="inlineStr">
        <is>
          <t>LIDKÖPING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46231</v>
      </c>
      <c r="E185" s="1" t="n">
        <v>46304</v>
      </c>
      <c r="F185" t="inlineStr">
        <is>
          <t>VÄSTRA GÖTALANDS LÄN</t>
        </is>
      </c>
      <c r="G185" t="inlineStr">
        <is>
          <t>LIDKÖPING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45568</v>
      </c>
      <c r="E186" s="1" t="n">
        <v>46304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46304</v>
      </c>
      <c r="F187" t="inlineStr">
        <is>
          <t>VÄSTRA GÖTALANDS LÄN</t>
        </is>
      </c>
      <c r="G187" t="inlineStr">
        <is>
          <t>LIDKÖPING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45635</v>
      </c>
      <c r="E188" s="1" t="n">
        <v>46304</v>
      </c>
      <c r="F188" t="inlineStr">
        <is>
          <t>VÄSTRA GÖTALANDS LÄN</t>
        </is>
      </c>
      <c r="G188" t="inlineStr">
        <is>
          <t>LIDKÖPING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46304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34941-2026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46259</v>
      </c>
      <c r="E190" s="1" t="n">
        <v>46304</v>
      </c>
      <c r="F190" t="inlineStr">
        <is>
          <t>VÄSTRA GÖTALANDS LÄN</t>
        </is>
      </c>
      <c r="G190" t="inlineStr">
        <is>
          <t>LIDKÖPING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46304</v>
      </c>
      <c r="F191" t="inlineStr">
        <is>
          <t>VÄSTRA GÖTALANDS LÄN</t>
        </is>
      </c>
      <c r="G191" t="inlineStr">
        <is>
          <t>LIDKÖPING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46259</v>
      </c>
      <c r="E192" s="1" t="n">
        <v>46304</v>
      </c>
      <c r="F192" t="inlineStr">
        <is>
          <t>VÄSTRA GÖTALANDS LÄN</t>
        </is>
      </c>
      <c r="G192" t="inlineStr">
        <is>
          <t>LIDKÖPING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46304</v>
      </c>
      <c r="F193" t="inlineStr">
        <is>
          <t>VÄSTRA GÖTALANDS LÄN</t>
        </is>
      </c>
      <c r="G193" t="inlineStr">
        <is>
          <t>LIDKÖPING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46259</v>
      </c>
      <c r="E194" s="1" t="n">
        <v>46304</v>
      </c>
      <c r="F194" t="inlineStr">
        <is>
          <t>VÄSTRA GÖTALANDS LÄN</t>
        </is>
      </c>
      <c r="G194" t="inlineStr">
        <is>
          <t>LIDKÖPING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46239</v>
      </c>
      <c r="E195" s="1" t="n">
        <v>46304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Kyrkan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45649</v>
      </c>
      <c r="E196" s="1" t="n">
        <v>46304</v>
      </c>
      <c r="F196" t="inlineStr">
        <is>
          <t>VÄSTRA GÖTALANDS LÄN</t>
        </is>
      </c>
      <c r="G196" t="inlineStr">
        <is>
          <t>LIDKÖPING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46239</v>
      </c>
      <c r="E197" s="1" t="n">
        <v>46304</v>
      </c>
      <c r="F197" t="inlineStr">
        <is>
          <t>VÄSTRA GÖTALANDS LÄN</t>
        </is>
      </c>
      <c r="G197" t="inlineStr">
        <is>
          <t>LIDKÖPING</t>
        </is>
      </c>
      <c r="H197" t="inlineStr">
        <is>
          <t>Kyrkan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46239</v>
      </c>
      <c r="E198" s="1" t="n">
        <v>46304</v>
      </c>
      <c r="F198" t="inlineStr">
        <is>
          <t>VÄSTRA GÖTALANDS LÄN</t>
        </is>
      </c>
      <c r="G198" t="inlineStr">
        <is>
          <t>LIDKÖPING</t>
        </is>
      </c>
      <c r="H198" t="inlineStr">
        <is>
          <t>Kyrkan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45363</v>
      </c>
      <c r="E199" s="1" t="n">
        <v>46304</v>
      </c>
      <c r="F199" t="inlineStr">
        <is>
          <t>VÄSTRA GÖTALANDS LÄN</t>
        </is>
      </c>
      <c r="G199" t="inlineStr">
        <is>
          <t>LIDKÖPING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46280</v>
      </c>
      <c r="E200" s="1" t="n">
        <v>46304</v>
      </c>
      <c r="F200" t="inlineStr">
        <is>
          <t>VÄSTRA GÖTALANDS LÄN</t>
        </is>
      </c>
      <c r="G200" t="inlineStr">
        <is>
          <t>LIDKÖPING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46304</v>
      </c>
      <c r="F201" t="inlineStr">
        <is>
          <t>VÄSTRA GÖTALANDS LÄN</t>
        </is>
      </c>
      <c r="G201" t="inlineStr">
        <is>
          <t>LIDKÖPING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46304</v>
      </c>
      <c r="F202" t="inlineStr">
        <is>
          <t>VÄSTRA GÖTALANDS LÄN</t>
        </is>
      </c>
      <c r="G202" t="inlineStr">
        <is>
          <t>LIDKÖPING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46304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46244</v>
      </c>
      <c r="E204" s="1" t="n">
        <v>46304</v>
      </c>
      <c r="F204" t="inlineStr">
        <is>
          <t>VÄSTRA GÖTALANDS LÄN</t>
        </is>
      </c>
      <c r="G204" t="inlineStr">
        <is>
          <t>LIDKÖPING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46244</v>
      </c>
      <c r="E205" s="1" t="n">
        <v>46304</v>
      </c>
      <c r="F205" t="inlineStr">
        <is>
          <t>VÄSTRA GÖTALANDS LÄN</t>
        </is>
      </c>
      <c r="G205" t="inlineStr">
        <is>
          <t>LIDKÖPING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46304</v>
      </c>
      <c r="F206" t="inlineStr">
        <is>
          <t>VÄSTRA GÖTALANDS LÄN</t>
        </is>
      </c>
      <c r="G206" t="inlineStr">
        <is>
          <t>LIDKÖPING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53275-2023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45229</v>
      </c>
      <c r="E207" s="1" t="n">
        <v>46304</v>
      </c>
      <c r="F207" t="inlineStr">
        <is>
          <t>VÄSTRA GÖTALANDS LÄN</t>
        </is>
      </c>
      <c r="G207" t="inlineStr">
        <is>
          <t>LIDKÖPING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46289</v>
      </c>
      <c r="E208" s="1" t="n">
        <v>46304</v>
      </c>
      <c r="F208" t="inlineStr">
        <is>
          <t>VÄSTRA GÖTALANDS LÄN</t>
        </is>
      </c>
      <c r="G208" t="inlineStr">
        <is>
          <t>LIDKÖPING</t>
        </is>
      </c>
      <c r="I208" t="n">
        <v>12.4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45572</v>
      </c>
      <c r="E209" s="1" t="n">
        <v>46304</v>
      </c>
      <c r="F209" t="inlineStr">
        <is>
          <t>VÄSTRA GÖTALANDS LÄN</t>
        </is>
      </c>
      <c r="G209" t="inlineStr">
        <is>
          <t>LIDKÖPING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45727</v>
      </c>
      <c r="E210" s="1" t="n">
        <v>46304</v>
      </c>
      <c r="F210" t="inlineStr">
        <is>
          <t>VÄSTRA GÖTALANDS LÄN</t>
        </is>
      </c>
      <c r="G210" t="inlineStr">
        <is>
          <t>LIDKÖPING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19840-2025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45771</v>
      </c>
      <c r="E211" s="1" t="n">
        <v>46304</v>
      </c>
      <c r="F211" t="inlineStr">
        <is>
          <t>VÄSTRA GÖTALANDS LÄN</t>
        </is>
      </c>
      <c r="G211" t="inlineStr">
        <is>
          <t>LIDKÖPING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46289</v>
      </c>
      <c r="E212" s="1" t="n">
        <v>46304</v>
      </c>
      <c r="F212" t="inlineStr">
        <is>
          <t>VÄSTRA GÖTALANDS LÄN</t>
        </is>
      </c>
      <c r="G212" t="inlineStr">
        <is>
          <t>LIDKÖPING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39914-2026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46290</v>
      </c>
      <c r="E213" s="1" t="n">
        <v>46304</v>
      </c>
      <c r="F213" t="inlineStr">
        <is>
          <t>VÄSTRA GÖTALANDS LÄN</t>
        </is>
      </c>
      <c r="G213" t="inlineStr">
        <is>
          <t>LIDKÖPING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58420-2023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45250</v>
      </c>
      <c r="E214" s="1" t="n">
        <v>46304</v>
      </c>
      <c r="F214" t="inlineStr">
        <is>
          <t>VÄSTRA GÖTALANDS LÄN</t>
        </is>
      </c>
      <c r="G214" t="inlineStr">
        <is>
          <t>LIDKÖPING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45538</v>
      </c>
      <c r="E215" s="1" t="n">
        <v>46304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46304</v>
      </c>
      <c r="F216" t="inlineStr">
        <is>
          <t>VÄSTRA GÖTALANDS LÄN</t>
        </is>
      </c>
      <c r="G216" t="inlineStr">
        <is>
          <t>LIDKÖPING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46295</v>
      </c>
      <c r="E217" s="1" t="n">
        <v>46304</v>
      </c>
      <c r="F217" t="inlineStr">
        <is>
          <t>VÄSTRA GÖTALANDS LÄN</t>
        </is>
      </c>
      <c r="G217" t="inlineStr">
        <is>
          <t>LIDKÖPING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46304</v>
      </c>
      <c r="F218" t="inlineStr">
        <is>
          <t>VÄSTRA GÖTALANDS LÄN</t>
        </is>
      </c>
      <c r="G218" t="inlineStr">
        <is>
          <t>LIDKÖPING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33984-2026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46252</v>
      </c>
      <c r="E219" s="1" t="n">
        <v>46304</v>
      </c>
      <c r="F219" t="inlineStr">
        <is>
          <t>VÄSTRA GÖTALANDS LÄN</t>
        </is>
      </c>
      <c r="G219" t="inlineStr">
        <is>
          <t>LIDKÖPING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46253</v>
      </c>
      <c r="E220" s="1" t="n">
        <v>46304</v>
      </c>
      <c r="F220" t="inlineStr">
        <is>
          <t>VÄSTRA GÖTALANDS LÄN</t>
        </is>
      </c>
      <c r="G220" t="inlineStr">
        <is>
          <t>LIDKÖPING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46271</v>
      </c>
      <c r="E221" s="1" t="n">
        <v>46304</v>
      </c>
      <c r="F221" t="inlineStr">
        <is>
          <t>VÄSTRA GÖTALANDS LÄN</t>
        </is>
      </c>
      <c r="G221" t="inlineStr">
        <is>
          <t>LIDKÖPING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46304</v>
      </c>
      <c r="F222" t="inlineStr">
        <is>
          <t>VÄSTRA GÖTALANDS LÄN</t>
        </is>
      </c>
      <c r="G222" t="inlineStr">
        <is>
          <t>LIDKÖPING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46304</v>
      </c>
      <c r="F223" t="inlineStr">
        <is>
          <t>VÄSTRA GÖTALANDS LÄN</t>
        </is>
      </c>
      <c r="G223" t="inlineStr">
        <is>
          <t>LIDKÖPING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41088-2026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46304</v>
      </c>
      <c r="F224" t="inlineStr">
        <is>
          <t>VÄSTRA GÖTALANDS LÄN</t>
        </is>
      </c>
      <c r="G224" t="inlineStr">
        <is>
          <t>LIDKÖPING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46300</v>
      </c>
      <c r="E225" s="1" t="n">
        <v>46304</v>
      </c>
      <c r="F225" t="inlineStr">
        <is>
          <t>VÄSTRA GÖTALANDS LÄN</t>
        </is>
      </c>
      <c r="G225" t="inlineStr">
        <is>
          <t>LIDKÖPING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3762-2024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45558</v>
      </c>
      <c r="E226" s="1" t="n">
        <v>46304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46304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320-2025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45688</v>
      </c>
      <c r="E228" s="1" t="n">
        <v>46304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319-2025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46304</v>
      </c>
      <c r="F229" t="inlineStr">
        <is>
          <t>VÄSTRA GÖTALANDS LÄN</t>
        </is>
      </c>
      <c r="G229" t="inlineStr">
        <is>
          <t>LIDKÖPING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2767-2022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44705</v>
      </c>
      <c r="E230" s="1" t="n">
        <v>46304</v>
      </c>
      <c r="F230" t="inlineStr">
        <is>
          <t>VÄSTRA GÖTALANDS LÄN</t>
        </is>
      </c>
      <c r="G230" t="inlineStr">
        <is>
          <t>LIDKÖPING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2026-10-09T02:08:42Z</dcterms:created>
  <dcterms:modified xmlns:dcterms="http://purl.org/dc/terms/" xmlns:xsi="http://www.w3.org/2001/XMLSchema-instance" xsi:type="dcterms:W3CDTF">2026-10-09T02:08:42Z</dcterms:modified>
</cp:coreProperties>
</file>