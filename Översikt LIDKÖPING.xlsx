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45831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45831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Svinrot
Törnskata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20821-2024</t>
        </is>
      </c>
      <c r="B4" s="1" t="n">
        <v>45439</v>
      </c>
      <c r="C4" s="1" t="n">
        <v>45831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Övriga statliga verk och myndigheter</t>
        </is>
      </c>
      <c r="G4" t="n">
        <v>8.199999999999999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Nordfladdermus
Sydfladdermus
Dvärgpipistrell
Gråskimlig fladdermus
Större brunfladdermus
Vattenfladdermus</t>
        </is>
      </c>
      <c r="S4">
        <f>HYPERLINK("https://klasma.github.io/Logging_1494/artfynd/A 20821-2024 artfynd.xlsx", "A 20821-2024")</f>
        <v/>
      </c>
      <c r="T4">
        <f>HYPERLINK("https://klasma.github.io/Logging_1494/kartor/A 20821-2024 karta.png", "A 20821-2024")</f>
        <v/>
      </c>
      <c r="V4">
        <f>HYPERLINK("https://klasma.github.io/Logging_1494/klagomål/A 20821-2024 FSC-klagomål.docx", "A 20821-2024")</f>
        <v/>
      </c>
      <c r="W4">
        <f>HYPERLINK("https://klasma.github.io/Logging_1494/klagomålsmail/A 20821-2024 FSC-klagomål mail.docx", "A 20821-2024")</f>
        <v/>
      </c>
      <c r="X4">
        <f>HYPERLINK("https://klasma.github.io/Logging_1494/tillsyn/A 20821-2024 tillsynsbegäran.docx", "A 20821-2024")</f>
        <v/>
      </c>
      <c r="Y4">
        <f>HYPERLINK("https://klasma.github.io/Logging_1494/tillsynsmail/A 20821-2024 tillsynsbegäran mail.docx", "A 20821-2024")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45831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45831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45831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45831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45831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45831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45831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45831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45831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45831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45831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45831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45831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45831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45831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45831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45831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45831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45831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45831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45831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45831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45831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45831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45831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45831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45831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45831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45831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45831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45831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45831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45831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45831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45831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45831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45831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45831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45831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45831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45831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45831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45831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45831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45831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45831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45831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45831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45831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45831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45831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45831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45831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45831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45831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45831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45831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45831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45831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45831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45831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45831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45831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45831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45831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45831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45831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45831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45831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45831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45831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45831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45831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45831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45831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45831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45831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45831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45831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45831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45831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45831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45831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45831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45831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45831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45831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45831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45831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45831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45831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45831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45831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45831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45831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45831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45831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45831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45831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45831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45831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45831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45831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45831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45831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45831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45831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45831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45831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45831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45831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45831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45831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45831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45831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45831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45831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45831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45831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45831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45831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45831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45831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45831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45831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45831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45831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45831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45831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45831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45831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45831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45831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45831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45831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45831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45831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45831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45831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45831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45831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45831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45831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45831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45831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45831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45831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45831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45831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45831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45831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45831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45831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45831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45831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45831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45831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45831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45831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45831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45831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45831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45831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45831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45831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45831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45831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45831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45831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45831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45831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45831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45831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45831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45831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45831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45831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45831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45831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45831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45831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45831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45831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45831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45831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45831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45831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45831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45831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45831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45831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45831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45831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45831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45831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45831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45831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45831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45831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45831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45831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45831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45831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45831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45831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45831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45831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45831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45831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45831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45831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45831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45831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45831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45831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45831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45831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45831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45831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45831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45831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45831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45831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45831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45831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45831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45831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45831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45831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45831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45831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45831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45831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45831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45831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45831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45831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45831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45831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45831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45831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45831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45831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45831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45831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45831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45831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45831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45831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45831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45831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45831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45831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45831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45831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45831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45831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45831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45831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45831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45831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45831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45831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45831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45831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45831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45831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45831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45831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45831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45831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45831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45831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45831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45831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45831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45831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45831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45831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45831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45831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45831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45831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45831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45831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45831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45831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45831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45831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45831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45831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45831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45831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45831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45831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45831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45831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45831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45831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45831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45831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45831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45831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45831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45831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45831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45831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45831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45831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45831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45831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45831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45831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45831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45831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45831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45831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45831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45831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45831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45831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45831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45831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45831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45831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45831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45831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45831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45831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45831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45831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45831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45831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45831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45831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45831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45831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45831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45831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45831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45831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45831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45831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45831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45831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45831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45831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45831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45831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45831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45831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45831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45831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45831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45831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45831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45831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45831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45831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45831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45831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45831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45831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45831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45831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45831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45831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45831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45831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45831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45831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45831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45831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45831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45831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45831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45831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45831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45831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45831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45831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45831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45831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45831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45831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45831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45831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45831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45831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45831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45831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45831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45831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45831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45831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45831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45831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45831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45831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45831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45831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45831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45831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45831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45831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45831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45831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45831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45831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45831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45831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45831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45831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45831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45831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45831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45831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45831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45831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45831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45831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45831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45831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45831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45831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45831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45831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45831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45831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45831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45831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45831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45831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45831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45831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45831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45831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45831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45831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45831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45831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45831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45831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45831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45831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45831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45831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45831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45831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45831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45831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45831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45831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45831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45831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45831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45831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45831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45831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45831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45831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45831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45831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45831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45831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45831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45831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45831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19840-2025</t>
        </is>
      </c>
      <c r="B473" s="1" t="n">
        <v>45771</v>
      </c>
      <c r="C473" s="1" t="n">
        <v>45831</v>
      </c>
      <c r="D473" t="inlineStr">
        <is>
          <t>VÄSTRA GÖTALANDS LÄN</t>
        </is>
      </c>
      <c r="E473" t="inlineStr">
        <is>
          <t>LIDKÖPING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20614-2025</t>
        </is>
      </c>
      <c r="B474" s="1" t="n">
        <v>45776</v>
      </c>
      <c r="C474" s="1" t="n">
        <v>45831</v>
      </c>
      <c r="D474" t="inlineStr">
        <is>
          <t>VÄSTRA GÖTALANDS LÄN</t>
        </is>
      </c>
      <c r="E474" t="inlineStr">
        <is>
          <t>LIDKÖPING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22922-2025</t>
        </is>
      </c>
      <c r="B475" s="1" t="n">
        <v>45790</v>
      </c>
      <c r="C475" s="1" t="n">
        <v>45831</v>
      </c>
      <c r="D475" t="inlineStr">
        <is>
          <t>VÄSTRA GÖTALANDS LÄN</t>
        </is>
      </c>
      <c r="E475" t="inlineStr">
        <is>
          <t>LIDKÖPING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22877-2025</t>
        </is>
      </c>
      <c r="B476" s="1" t="n">
        <v>45790</v>
      </c>
      <c r="C476" s="1" t="n">
        <v>45831</v>
      </c>
      <c r="D476" t="inlineStr">
        <is>
          <t>VÄSTRA GÖTALANDS LÄN</t>
        </is>
      </c>
      <c r="E476" t="inlineStr">
        <is>
          <t>LIDKÖPING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24234-2025</t>
        </is>
      </c>
      <c r="B477" s="1" t="n">
        <v>45797</v>
      </c>
      <c r="C477" s="1" t="n">
        <v>45831</v>
      </c>
      <c r="D477" t="inlineStr">
        <is>
          <t>VÄSTRA GÖTALANDS LÄN</t>
        </is>
      </c>
      <c r="E477" t="inlineStr">
        <is>
          <t>LIDKÖPING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24242-2025</t>
        </is>
      </c>
      <c r="B478" s="1" t="n">
        <v>45797</v>
      </c>
      <c r="C478" s="1" t="n">
        <v>45831</v>
      </c>
      <c r="D478" t="inlineStr">
        <is>
          <t>VÄSTRA GÖTALANDS LÄN</t>
        </is>
      </c>
      <c r="E478" t="inlineStr">
        <is>
          <t>LIDKÖPING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24352-2025</t>
        </is>
      </c>
      <c r="B479" s="1" t="n">
        <v>45797</v>
      </c>
      <c r="C479" s="1" t="n">
        <v>45831</v>
      </c>
      <c r="D479" t="inlineStr">
        <is>
          <t>VÄSTRA GÖTALANDS LÄN</t>
        </is>
      </c>
      <c r="E479" t="inlineStr">
        <is>
          <t>LIDKÖPING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24353-2025</t>
        </is>
      </c>
      <c r="B480" s="1" t="n">
        <v>45797</v>
      </c>
      <c r="C480" s="1" t="n">
        <v>45831</v>
      </c>
      <c r="D480" t="inlineStr">
        <is>
          <t>VÄSTRA GÖTALANDS LÄN</t>
        </is>
      </c>
      <c r="E480" t="inlineStr">
        <is>
          <t>LIDKÖPING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24356-2025</t>
        </is>
      </c>
      <c r="B481" s="1" t="n">
        <v>45797</v>
      </c>
      <c r="C481" s="1" t="n">
        <v>45831</v>
      </c>
      <c r="D481" t="inlineStr">
        <is>
          <t>VÄSTRA GÖTALANDS LÄN</t>
        </is>
      </c>
      <c r="E481" t="inlineStr">
        <is>
          <t>LIDKÖPING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25437-2025</t>
        </is>
      </c>
      <c r="B482" s="1" t="n">
        <v>45800</v>
      </c>
      <c r="C482" s="1" t="n">
        <v>45831</v>
      </c>
      <c r="D482" t="inlineStr">
        <is>
          <t>VÄSTRA GÖTALANDS LÄN</t>
        </is>
      </c>
      <c r="E482" t="inlineStr">
        <is>
          <t>LIDKÖPING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25587-2025</t>
        </is>
      </c>
      <c r="B483" s="1" t="n">
        <v>45803</v>
      </c>
      <c r="C483" s="1" t="n">
        <v>45831</v>
      </c>
      <c r="D483" t="inlineStr">
        <is>
          <t>VÄSTRA GÖTALANDS LÄN</t>
        </is>
      </c>
      <c r="E483" t="inlineStr">
        <is>
          <t>LIDKÖPING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26356-2025</t>
        </is>
      </c>
      <c r="B484" s="1" t="n">
        <v>45805</v>
      </c>
      <c r="C484" s="1" t="n">
        <v>45831</v>
      </c>
      <c r="D484" t="inlineStr">
        <is>
          <t>VÄSTRA GÖTALANDS LÄN</t>
        </is>
      </c>
      <c r="E484" t="inlineStr">
        <is>
          <t>LIDKÖPING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29433-2025</t>
        </is>
      </c>
      <c r="B485" s="1" t="n">
        <v>45824</v>
      </c>
      <c r="C485" s="1" t="n">
        <v>45831</v>
      </c>
      <c r="D485" t="inlineStr">
        <is>
          <t>VÄSTRA GÖTALANDS LÄN</t>
        </is>
      </c>
      <c r="E485" t="inlineStr">
        <is>
          <t>LIDKÖPING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29495-2025</t>
        </is>
      </c>
      <c r="B486" s="1" t="n">
        <v>45824</v>
      </c>
      <c r="C486" s="1" t="n">
        <v>45831</v>
      </c>
      <c r="D486" t="inlineStr">
        <is>
          <t>VÄSTRA GÖTALANDS LÄN</t>
        </is>
      </c>
      <c r="E486" t="inlineStr">
        <is>
          <t>LIDKÖPING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29845-2025</t>
        </is>
      </c>
      <c r="B487" s="1" t="n">
        <v>45826</v>
      </c>
      <c r="C487" s="1" t="n">
        <v>45831</v>
      </c>
      <c r="D487" t="inlineStr">
        <is>
          <t>VÄSTRA GÖTALANDS LÄN</t>
        </is>
      </c>
      <c r="E487" t="inlineStr">
        <is>
          <t>LIDKÖPING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2025-06-23T19:15:54Z</dcterms:created>
  <dcterms:modified xmlns:dcterms="http://purl.org/dc/terms/" xmlns:xsi="http://www.w3.org/2001/XMLSchema-instance" xsi:type="dcterms:W3CDTF">2025-06-23T19:15:55Z</dcterms:modified>
</cp:coreProperties>
</file>