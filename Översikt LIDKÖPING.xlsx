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46314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46314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46314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46314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46314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46314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46314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46314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46314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46314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46314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46314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41746-2026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46302</v>
      </c>
      <c r="E19" s="1" t="n">
        <v>46314</v>
      </c>
      <c r="F19" t="inlineStr">
        <is>
          <t>VÄSTRA GÖTALANDS LÄN</t>
        </is>
      </c>
      <c r="G19" t="inlineStr">
        <is>
          <t>LIDKÖPING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snok</t>
        </is>
      </c>
      <c r="W19">
        <f>HYPERLINK("https://klasma.github.io/Logging_1494/artfynd/A 41746-2026 artfynd.xlsx", "A 41746-2026")</f>
        <v/>
      </c>
      <c r="X19">
        <f>HYPERLINK("https://klasma.github.io/Logging_1494/kartor/A 41746-2026 karta.png", "A 41746-2026")</f>
        <v/>
      </c>
      <c r="Y19">
        <f>HYPERLINK("https://klasma.github.io/Logging_1494/kartor_geotiff/A 41746-2026 georefererad karta.tif", "A 41746-2026")</f>
        <v/>
      </c>
      <c r="AA19">
        <f>HYPERLINK("https://klasma.github.io/Logging_1494/klagomål/A 41746-2026 FSC-klagomål.docx", "A 41746-2026")</f>
        <v/>
      </c>
      <c r="AB19">
        <f>HYPERLINK("https://klasma.github.io/Logging_1494/klagomålsmail/A 41746-2026 FSC-klagomål mail.docx", "A 41746-2026")</f>
        <v/>
      </c>
      <c r="AC19">
        <f>HYPERLINK("https://klasma.github.io/Logging_1494/tillsyn/A 41746-2026 tillsynsbegäran.docx", "A 41746-2026")</f>
        <v/>
      </c>
      <c r="AD19">
        <f>HYPERLINK("https://klasma.github.io/Logging_1494/tillsynsmail/A 41746-2026 tillsynsbegäran mail.docx", "A 41746-2026")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46314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46314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61818-2024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45649</v>
      </c>
      <c r="E22" s="1" t="n">
        <v>46314</v>
      </c>
      <c r="F22" t="inlineStr">
        <is>
          <t>VÄSTRA GÖTALANDS LÄN</t>
        </is>
      </c>
      <c r="G22" t="inlineStr">
        <is>
          <t>LIDKÖPING</t>
        </is>
      </c>
      <c r="I22" t="n">
        <v>6.2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Rödvingetrast</t>
        </is>
      </c>
      <c r="W22">
        <f>HYPERLINK("https://klasma.github.io/Logging_1494/artfynd/A 61818-2024 artfynd.xlsx", "A 61818-2024")</f>
        <v/>
      </c>
      <c r="X22">
        <f>HYPERLINK("https://klasma.github.io/Logging_1494/kartor/A 61818-2024 karta.png", "A 61818-2024")</f>
        <v/>
      </c>
      <c r="Y22">
        <f>HYPERLINK("https://klasma.github.io/Logging_1494/kartor_geotiff/A 61818-2024 georefererad karta.tif", "A 61818-2024")</f>
        <v/>
      </c>
      <c r="AA22">
        <f>HYPERLINK("https://klasma.github.io/Logging_1494/klagomål/A 61818-2024 FSC-klagomål.docx", "A 61818-2024")</f>
        <v/>
      </c>
      <c r="AB22">
        <f>HYPERLINK("https://klasma.github.io/Logging_1494/klagomålsmail/A 61818-2024 FSC-klagomål mail.docx", "A 61818-2024")</f>
        <v/>
      </c>
      <c r="AC22">
        <f>HYPERLINK("https://klasma.github.io/Logging_1494/tillsyn/A 61818-2024 tillsynsbegäran.docx", "A 61818-2024")</f>
        <v/>
      </c>
      <c r="AD22">
        <f>HYPERLINK("https://klasma.github.io/Logging_1494/tillsynsmail/A 61818-2024 tillsynsbegäran mail.docx", "A 61818-2024")</f>
        <v/>
      </c>
      <c r="AE22">
        <f>HYPERLINK("https://klasma.github.io/Logging_1494/fåglar/A 61818-2024 prioriterade fågelarter.docx", "A 61818-2024")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46314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46314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46314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46314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46314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46314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46314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46314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46314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46314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46314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46314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46314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46314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46314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46314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46314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46314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46314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46314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46314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46314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46314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46314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46314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46314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46314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46314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46314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46314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46314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46314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46314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46314</v>
      </c>
      <c r="F56" t="inlineStr">
        <is>
          <t>VÄSTRA GÖTALANDS LÄN</t>
        </is>
      </c>
      <c r="G56" t="inlineStr">
        <is>
          <t>LIDKÖPING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44806</v>
      </c>
      <c r="E57" s="1" t="n">
        <v>46314</v>
      </c>
      <c r="F57" t="inlineStr">
        <is>
          <t>VÄSTRA GÖTALANDS LÄN</t>
        </is>
      </c>
      <c r="G57" t="inlineStr">
        <is>
          <t>LIDKÖPING</t>
        </is>
      </c>
      <c r="I57" t="n">
        <v>17.4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46314</v>
      </c>
      <c r="F58" t="inlineStr">
        <is>
          <t>VÄSTRA GÖTALANDS LÄN</t>
        </is>
      </c>
      <c r="G58" t="inlineStr">
        <is>
          <t>LIDKÖPING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46314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63778-2023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45278</v>
      </c>
      <c r="E60" s="1" t="n">
        <v>46314</v>
      </c>
      <c r="F60" t="inlineStr">
        <is>
          <t>VÄSTRA GÖTALANDS LÄN</t>
        </is>
      </c>
      <c r="G60" t="inlineStr">
        <is>
          <t>LIDKÖPING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46314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46314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46314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45125</v>
      </c>
      <c r="E64" s="1" t="n">
        <v>46314</v>
      </c>
      <c r="F64" t="inlineStr">
        <is>
          <t>VÄSTRA GÖTALANDS LÄN</t>
        </is>
      </c>
      <c r="G64" t="inlineStr">
        <is>
          <t>LIDKÖPING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46314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46314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46314</v>
      </c>
      <c r="F67" t="inlineStr">
        <is>
          <t>VÄSTRA GÖTALANDS LÄN</t>
        </is>
      </c>
      <c r="G67" t="inlineStr">
        <is>
          <t>LIDKÖPING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44967</v>
      </c>
      <c r="E68" s="1" t="n">
        <v>46314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46314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46314</v>
      </c>
      <c r="F70" t="inlineStr">
        <is>
          <t>VÄSTRA GÖTALANDS LÄN</t>
        </is>
      </c>
      <c r="G70" t="inlineStr">
        <is>
          <t>LIDKÖPING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46314</v>
      </c>
      <c r="F71" t="inlineStr">
        <is>
          <t>VÄSTRA GÖTALANDS LÄN</t>
        </is>
      </c>
      <c r="G71" t="inlineStr">
        <is>
          <t>LIDKÖPING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46314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46314</v>
      </c>
      <c r="F73" t="inlineStr">
        <is>
          <t>VÄSTRA GÖTALANDS LÄN</t>
        </is>
      </c>
      <c r="G73" t="inlineStr">
        <is>
          <t>LIDKÖPING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46314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44998</v>
      </c>
      <c r="E75" s="1" t="n">
        <v>46314</v>
      </c>
      <c r="F75" t="inlineStr">
        <is>
          <t>VÄSTRA GÖTALANDS LÄN</t>
        </is>
      </c>
      <c r="G75" t="inlineStr">
        <is>
          <t>LIDKÖPING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21017-2026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46144</v>
      </c>
      <c r="E76" s="1" t="n">
        <v>46314</v>
      </c>
      <c r="F76" t="inlineStr">
        <is>
          <t>VÄSTRA GÖTALANDS LÄN</t>
        </is>
      </c>
      <c r="G76" t="inlineStr">
        <is>
          <t>LIDKÖPING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46314</v>
      </c>
      <c r="F77" t="inlineStr">
        <is>
          <t>VÄSTRA GÖTALANDS LÄN</t>
        </is>
      </c>
      <c r="G77" t="inlineStr">
        <is>
          <t>LIDKÖPING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46314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46314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45660</v>
      </c>
      <c r="E80" s="1" t="n">
        <v>46314</v>
      </c>
      <c r="F80" t="inlineStr">
        <is>
          <t>VÄSTRA GÖTALANDS LÄN</t>
        </is>
      </c>
      <c r="G80" t="inlineStr">
        <is>
          <t>LIDKÖPING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46314</v>
      </c>
      <c r="F81" t="inlineStr">
        <is>
          <t>VÄSTRA GÖTALANDS LÄN</t>
        </is>
      </c>
      <c r="G81" t="inlineStr">
        <is>
          <t>LIDKÖPING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46314</v>
      </c>
      <c r="F82" t="inlineStr">
        <is>
          <t>VÄSTRA GÖTALANDS LÄN</t>
        </is>
      </c>
      <c r="G82" t="inlineStr">
        <is>
          <t>LIDKÖPING</t>
        </is>
      </c>
      <c r="H82" t="inlineStr">
        <is>
          <t>Kyrkan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46314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46314</v>
      </c>
      <c r="F84" t="inlineStr">
        <is>
          <t>VÄSTRA GÖTALANDS LÄN</t>
        </is>
      </c>
      <c r="G84" t="inlineStr">
        <is>
          <t>LIDKÖPING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46314</v>
      </c>
      <c r="F85" t="inlineStr">
        <is>
          <t>VÄSTRA GÖTALANDS LÄN</t>
        </is>
      </c>
      <c r="G85" t="inlineStr">
        <is>
          <t>LIDKÖPING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46314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46314</v>
      </c>
      <c r="F87" t="inlineStr">
        <is>
          <t>VÄSTRA GÖTALANDS LÄN</t>
        </is>
      </c>
      <c r="G87" t="inlineStr">
        <is>
          <t>LIDKÖPING</t>
        </is>
      </c>
      <c r="I87" t="n">
        <v>22.6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46314</v>
      </c>
      <c r="F88" t="inlineStr">
        <is>
          <t>VÄSTRA GÖTALANDS LÄN</t>
        </is>
      </c>
      <c r="G88" t="inlineStr">
        <is>
          <t>LIDKÖPING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46314</v>
      </c>
      <c r="F89" t="inlineStr">
        <is>
          <t>VÄSTRA GÖTALANDS LÄN</t>
        </is>
      </c>
      <c r="G89" t="inlineStr">
        <is>
          <t>LIDKÖPING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46314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46314</v>
      </c>
      <c r="F91" t="inlineStr">
        <is>
          <t>VÄSTRA GÖTALANDS LÄN</t>
        </is>
      </c>
      <c r="G91" t="inlineStr">
        <is>
          <t>LIDKÖPING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45529</v>
      </c>
      <c r="E92" s="1" t="n">
        <v>46314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46314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46314</v>
      </c>
      <c r="F94" t="inlineStr">
        <is>
          <t>VÄSTRA GÖTALANDS LÄN</t>
        </is>
      </c>
      <c r="G94" t="inlineStr">
        <is>
          <t>LIDKÖPING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46314</v>
      </c>
      <c r="F95" t="inlineStr">
        <is>
          <t>VÄSTRA GÖTALANDS LÄN</t>
        </is>
      </c>
      <c r="G95" t="inlineStr">
        <is>
          <t>LIDKÖPING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46314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46314</v>
      </c>
      <c r="F97" t="inlineStr">
        <is>
          <t>VÄSTRA GÖTALANDS LÄN</t>
        </is>
      </c>
      <c r="G97" t="inlineStr">
        <is>
          <t>LIDKÖPING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46314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Kommuner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44901</v>
      </c>
      <c r="E99" s="1" t="n">
        <v>46314</v>
      </c>
      <c r="F99" t="inlineStr">
        <is>
          <t>VÄSTRA GÖTALANDS LÄN</t>
        </is>
      </c>
      <c r="G99" t="inlineStr">
        <is>
          <t>LIDKÖPING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46314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46314</v>
      </c>
      <c r="F101" t="inlineStr">
        <is>
          <t>VÄSTRA GÖTALANDS LÄN</t>
        </is>
      </c>
      <c r="G101" t="inlineStr">
        <is>
          <t>LIDKÖPING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46314</v>
      </c>
      <c r="F102" t="inlineStr">
        <is>
          <t>VÄSTRA GÖTALANDS LÄN</t>
        </is>
      </c>
      <c r="G102" t="inlineStr">
        <is>
          <t>LIDKÖPING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46314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45232</v>
      </c>
      <c r="E104" s="1" t="n">
        <v>46314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46314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46314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45623</v>
      </c>
      <c r="E107" s="1" t="n">
        <v>46314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46314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45462</v>
      </c>
      <c r="E109" s="1" t="n">
        <v>46314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46314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46314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46314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Kommuner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46314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46178</v>
      </c>
      <c r="E114" s="1" t="n">
        <v>46314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46314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Kyrkan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46314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46314</v>
      </c>
      <c r="F117" t="inlineStr">
        <is>
          <t>VÄSTRA GÖTALANDS LÄN</t>
        </is>
      </c>
      <c r="G117" t="inlineStr">
        <is>
          <t>LIDKÖPING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46314</v>
      </c>
      <c r="F118" t="inlineStr">
        <is>
          <t>VÄSTRA GÖTALANDS LÄN</t>
        </is>
      </c>
      <c r="G118" t="inlineStr">
        <is>
          <t>LIDKÖPING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46314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46314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46314</v>
      </c>
      <c r="F121" t="inlineStr">
        <is>
          <t>VÄSTRA GÖTALANDS LÄN</t>
        </is>
      </c>
      <c r="G121" t="inlineStr">
        <is>
          <t>LIDKÖPING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45702</v>
      </c>
      <c r="E122" s="1" t="n">
        <v>46314</v>
      </c>
      <c r="F122" t="inlineStr">
        <is>
          <t>VÄSTRA GÖTALANDS LÄN</t>
        </is>
      </c>
      <c r="G122" t="inlineStr">
        <is>
          <t>LIDKÖPING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45120</v>
      </c>
      <c r="E123" s="1" t="n">
        <v>46314</v>
      </c>
      <c r="F123" t="inlineStr">
        <is>
          <t>VÄSTRA GÖTALANDS LÄN</t>
        </is>
      </c>
      <c r="G123" t="inlineStr">
        <is>
          <t>LIDKÖPING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46314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46314</v>
      </c>
      <c r="F125" t="inlineStr">
        <is>
          <t>VÄSTRA GÖTALANDS LÄN</t>
        </is>
      </c>
      <c r="G125" t="inlineStr">
        <is>
          <t>LIDKÖPING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46314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44964</v>
      </c>
      <c r="E127" s="1" t="n">
        <v>46314</v>
      </c>
      <c r="F127" t="inlineStr">
        <is>
          <t>VÄSTRA GÖTALANDS LÄN</t>
        </is>
      </c>
      <c r="G127" t="inlineStr">
        <is>
          <t>LIDKÖPING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46314</v>
      </c>
      <c r="F128" t="inlineStr">
        <is>
          <t>VÄSTRA GÖTALANDS LÄN</t>
        </is>
      </c>
      <c r="G128" t="inlineStr">
        <is>
          <t>LIDKÖPING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46314</v>
      </c>
      <c r="F129" t="inlineStr">
        <is>
          <t>VÄSTRA GÖTALANDS LÄN</t>
        </is>
      </c>
      <c r="G129" t="inlineStr">
        <is>
          <t>LIDKÖPING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46314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46314</v>
      </c>
      <c r="F131" t="inlineStr">
        <is>
          <t>VÄSTRA GÖTALANDS LÄN</t>
        </is>
      </c>
      <c r="G131" t="inlineStr">
        <is>
          <t>LIDKÖPING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46314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46314</v>
      </c>
      <c r="F133" t="inlineStr">
        <is>
          <t>VÄSTRA GÖTALANDS LÄN</t>
        </is>
      </c>
      <c r="G133" t="inlineStr">
        <is>
          <t>LIDKÖPING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46314</v>
      </c>
      <c r="F134" t="inlineStr">
        <is>
          <t>VÄSTRA GÖTALANDS LÄN</t>
        </is>
      </c>
      <c r="G134" t="inlineStr">
        <is>
          <t>LIDKÖPING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46314</v>
      </c>
      <c r="F135" t="inlineStr">
        <is>
          <t>VÄSTRA GÖTALANDS LÄN</t>
        </is>
      </c>
      <c r="G135" t="inlineStr">
        <is>
          <t>LIDKÖPING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46314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46314</v>
      </c>
      <c r="F137" t="inlineStr">
        <is>
          <t>VÄSTRA GÖTALANDS LÄN</t>
        </is>
      </c>
      <c r="G137" t="inlineStr">
        <is>
          <t>LIDKÖPING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46314</v>
      </c>
      <c r="F138" t="inlineStr">
        <is>
          <t>VÄSTRA GÖTALANDS LÄN</t>
        </is>
      </c>
      <c r="G138" t="inlineStr">
        <is>
          <t>LIDKÖPING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46122</v>
      </c>
      <c r="E139" s="1" t="n">
        <v>46314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46314</v>
      </c>
      <c r="F140" t="inlineStr">
        <is>
          <t>VÄSTRA GÖTALANDS LÄN</t>
        </is>
      </c>
      <c r="G140" t="inlineStr">
        <is>
          <t>LIDKÖPING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46314</v>
      </c>
      <c r="F141" t="inlineStr">
        <is>
          <t>VÄSTRA GÖTALANDS LÄN</t>
        </is>
      </c>
      <c r="G141" t="inlineStr">
        <is>
          <t>LIDKÖPING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46314</v>
      </c>
      <c r="F142" t="inlineStr">
        <is>
          <t>VÄSTRA GÖTALANDS LÄN</t>
        </is>
      </c>
      <c r="G142" t="inlineStr">
        <is>
          <t>LIDKÖPING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46314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46314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46314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46314</v>
      </c>
      <c r="F146" t="inlineStr">
        <is>
          <t>VÄSTRA GÖTALANDS LÄN</t>
        </is>
      </c>
      <c r="G146" t="inlineStr">
        <is>
          <t>LIDKÖPING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46314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46314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56542-2024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45625</v>
      </c>
      <c r="E149" s="1" t="n">
        <v>46314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46314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46314</v>
      </c>
      <c r="F151" t="inlineStr">
        <is>
          <t>VÄSTRA GÖTALANDS LÄN</t>
        </is>
      </c>
      <c r="G151" t="inlineStr">
        <is>
          <t>LIDKÖPING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46314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46314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46314</v>
      </c>
      <c r="F154" t="inlineStr">
        <is>
          <t>VÄSTRA GÖTALANDS LÄN</t>
        </is>
      </c>
      <c r="G154" t="inlineStr">
        <is>
          <t>LIDKÖPING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46314</v>
      </c>
      <c r="F155" t="inlineStr">
        <is>
          <t>VÄSTRA GÖTALANDS LÄN</t>
        </is>
      </c>
      <c r="G155" t="inlineStr">
        <is>
          <t>LIDKÖPING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46314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46314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46314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46230</v>
      </c>
      <c r="E159" s="1" t="n">
        <v>46314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46231</v>
      </c>
      <c r="E160" s="1" t="n">
        <v>46314</v>
      </c>
      <c r="F160" t="inlineStr">
        <is>
          <t>VÄSTRA GÖTALANDS LÄN</t>
        </is>
      </c>
      <c r="G160" t="inlineStr">
        <is>
          <t>LIDKÖPING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46314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46314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46314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46314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46314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46314</v>
      </c>
      <c r="F166" t="inlineStr">
        <is>
          <t>VÄSTRA GÖTALANDS LÄN</t>
        </is>
      </c>
      <c r="G166" t="inlineStr">
        <is>
          <t>LIDKÖPING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46314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46280</v>
      </c>
      <c r="E168" s="1" t="n">
        <v>46314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46314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46314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46314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46314</v>
      </c>
      <c r="F172" t="inlineStr">
        <is>
          <t>VÄSTRA GÖTALANDS LÄN</t>
        </is>
      </c>
      <c r="G172" t="inlineStr">
        <is>
          <t>LIDKÖPING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46314</v>
      </c>
      <c r="F173" t="inlineStr">
        <is>
          <t>VÄSTRA GÖTALANDS LÄN</t>
        </is>
      </c>
      <c r="G173" t="inlineStr">
        <is>
          <t>LIDKÖPING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46314</v>
      </c>
      <c r="F174" t="inlineStr">
        <is>
          <t>VÄSTRA GÖTALANDS LÄN</t>
        </is>
      </c>
      <c r="G174" t="inlineStr">
        <is>
          <t>LIDKÖPING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46314</v>
      </c>
      <c r="F175" t="inlineStr">
        <is>
          <t>VÄSTRA GÖTALANDS LÄN</t>
        </is>
      </c>
      <c r="G175" t="inlineStr">
        <is>
          <t>LIDKÖPING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46314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46314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46314</v>
      </c>
      <c r="F178" t="inlineStr">
        <is>
          <t>VÄSTRA GÖTALANDS LÄN</t>
        </is>
      </c>
      <c r="G178" t="inlineStr">
        <is>
          <t>LIDKÖPING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46314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46314</v>
      </c>
      <c r="F180" t="inlineStr">
        <is>
          <t>VÄSTRA GÖTALANDS LÄN</t>
        </is>
      </c>
      <c r="G180" t="inlineStr">
        <is>
          <t>LIDKÖPING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46314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46314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46314</v>
      </c>
      <c r="F183" t="inlineStr">
        <is>
          <t>VÄSTRA GÖTALANDS LÄN</t>
        </is>
      </c>
      <c r="G183" t="inlineStr">
        <is>
          <t>LIDKÖPING</t>
        </is>
      </c>
      <c r="I183" t="n">
        <v>12.4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46314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46314</v>
      </c>
      <c r="F185" t="inlineStr">
        <is>
          <t>VÄSTRA GÖTALANDS LÄN</t>
        </is>
      </c>
      <c r="G185" t="inlineStr">
        <is>
          <t>LIDKÖPING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39914-2026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46290</v>
      </c>
      <c r="E186" s="1" t="n">
        <v>46314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46314</v>
      </c>
      <c r="F187" t="inlineStr">
        <is>
          <t>VÄSTRA GÖTALANDS LÄN</t>
        </is>
      </c>
      <c r="G187" t="inlineStr">
        <is>
          <t>LIDKÖPING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45006</v>
      </c>
      <c r="E188" s="1" t="n">
        <v>46314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46314</v>
      </c>
      <c r="F189" t="inlineStr">
        <is>
          <t>VÄSTRA GÖTALANDS LÄN</t>
        </is>
      </c>
      <c r="G189" t="inlineStr">
        <is>
          <t>LIDKÖPING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46314</v>
      </c>
      <c r="F190" t="inlineStr">
        <is>
          <t>VÄSTRA GÖTALANDS LÄN</t>
        </is>
      </c>
      <c r="G190" t="inlineStr">
        <is>
          <t>LIDKÖPING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46314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46314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46295</v>
      </c>
      <c r="E193" s="1" t="n">
        <v>46314</v>
      </c>
      <c r="F193" t="inlineStr">
        <is>
          <t>VÄSTRA GÖTALANDS LÄN</t>
        </is>
      </c>
      <c r="G193" t="inlineStr">
        <is>
          <t>LIDKÖPING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33984-2026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46252</v>
      </c>
      <c r="E194" s="1" t="n">
        <v>46314</v>
      </c>
      <c r="F194" t="inlineStr">
        <is>
          <t>VÄSTRA GÖTALANDS LÄN</t>
        </is>
      </c>
      <c r="G194" t="inlineStr">
        <is>
          <t>LIDKÖPING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46314</v>
      </c>
      <c r="F195" t="inlineStr">
        <is>
          <t>VÄSTRA GÖTALANDS LÄN</t>
        </is>
      </c>
      <c r="G195" t="inlineStr">
        <is>
          <t>LIDKÖPING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46314</v>
      </c>
      <c r="F196" t="inlineStr">
        <is>
          <t>VÄSTRA GÖTALANDS LÄN</t>
        </is>
      </c>
      <c r="G196" t="inlineStr">
        <is>
          <t>LIDKÖPING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46271</v>
      </c>
      <c r="E197" s="1" t="n">
        <v>46314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46314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46314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46314</v>
      </c>
      <c r="F200" t="inlineStr">
        <is>
          <t>VÄSTRA GÖTALANDS LÄN</t>
        </is>
      </c>
      <c r="G200" t="inlineStr">
        <is>
          <t>LIDKÖPING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46314</v>
      </c>
      <c r="F201" t="inlineStr">
        <is>
          <t>VÄSTRA GÖTALANDS LÄN</t>
        </is>
      </c>
      <c r="G201" t="inlineStr">
        <is>
          <t>LIDKÖPING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46314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46314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46314</v>
      </c>
      <c r="F204" t="inlineStr">
        <is>
          <t>VÄSTRA GÖTALANDS LÄN</t>
        </is>
      </c>
      <c r="G204" t="inlineStr">
        <is>
          <t>LIDKÖPING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46314</v>
      </c>
      <c r="F205" t="inlineStr">
        <is>
          <t>VÄSTRA GÖTALANDS LÄN</t>
        </is>
      </c>
      <c r="G205" t="inlineStr">
        <is>
          <t>LIDKÖPING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46314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42028-2026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46304</v>
      </c>
      <c r="E207" s="1" t="n">
        <v>46314</v>
      </c>
      <c r="F207" t="inlineStr">
        <is>
          <t>VÄSTRA GÖTALANDS LÄN</t>
        </is>
      </c>
      <c r="G207" t="inlineStr">
        <is>
          <t>LIDKÖPING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46314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46314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46314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46314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46314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46314</v>
      </c>
      <c r="F213" t="inlineStr">
        <is>
          <t>VÄSTRA GÖTALANDS LÄN</t>
        </is>
      </c>
      <c r="G213" t="inlineStr">
        <is>
          <t>LIDKÖPING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46314</v>
      </c>
      <c r="F214" t="inlineStr">
        <is>
          <t>VÄSTRA GÖTALANDS LÄN</t>
        </is>
      </c>
      <c r="G214" t="inlineStr">
        <is>
          <t>LIDKÖPING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45250</v>
      </c>
      <c r="E215" s="1" t="n">
        <v>46314</v>
      </c>
      <c r="F215" t="inlineStr">
        <is>
          <t>VÄSTRA GÖTALANDS LÄN</t>
        </is>
      </c>
      <c r="G215" t="inlineStr">
        <is>
          <t>LIDKÖPING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46314</v>
      </c>
      <c r="F216" t="inlineStr">
        <is>
          <t>VÄSTRA GÖTALANDS LÄN</t>
        </is>
      </c>
      <c r="G216" t="inlineStr">
        <is>
          <t>LIDKÖPING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46314</v>
      </c>
      <c r="F217" t="inlineStr">
        <is>
          <t>VÄSTRA GÖTALANDS LÄN</t>
        </is>
      </c>
      <c r="G217" t="inlineStr">
        <is>
          <t>LIDKÖPING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46310</v>
      </c>
      <c r="E218" s="1" t="n">
        <v>46314</v>
      </c>
      <c r="F218" t="inlineStr">
        <is>
          <t>VÄSTRA GÖTALANDS LÄN</t>
        </is>
      </c>
      <c r="G218" t="inlineStr">
        <is>
          <t>LIDKÖPING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46314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46314</v>
      </c>
      <c r="F220" t="inlineStr">
        <is>
          <t>VÄSTRA GÖTALANDS LÄN</t>
        </is>
      </c>
      <c r="G220" t="inlineStr">
        <is>
          <t>LIDKÖPING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46314</v>
      </c>
      <c r="F221" t="inlineStr">
        <is>
          <t>VÄSTRA GÖTALANDS LÄN</t>
        </is>
      </c>
      <c r="G221" t="inlineStr">
        <is>
          <t>LIDKÖPING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46314</v>
      </c>
      <c r="F222" t="inlineStr">
        <is>
          <t>VÄSTRA GÖTALANDS LÄN</t>
        </is>
      </c>
      <c r="G222" t="inlineStr">
        <is>
          <t>LIDKÖPING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46314</v>
      </c>
      <c r="F223" t="inlineStr">
        <is>
          <t>VÄSTRA GÖTALANDS LÄN</t>
        </is>
      </c>
      <c r="G223" t="inlineStr">
        <is>
          <t>LIDKÖPING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45837</v>
      </c>
      <c r="E224" s="1" t="n">
        <v>46314</v>
      </c>
      <c r="F224" t="inlineStr">
        <is>
          <t>VÄSTRA GÖTALANDS LÄN</t>
        </is>
      </c>
      <c r="G224" t="inlineStr">
        <is>
          <t>LIDKÖPING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59069-2023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45252</v>
      </c>
      <c r="E225" s="1" t="n">
        <v>46314</v>
      </c>
      <c r="F225" t="inlineStr">
        <is>
          <t>VÄSTRA GÖTALANDS LÄN</t>
        </is>
      </c>
      <c r="G225" t="inlineStr">
        <is>
          <t>LIDKÖPING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46314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46314</v>
      </c>
      <c r="F227" t="inlineStr">
        <is>
          <t>VÄSTRA GÖTALANDS LÄN</t>
        </is>
      </c>
      <c r="G227" t="inlineStr">
        <is>
          <t>LIDKÖPING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37195-2025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45875</v>
      </c>
      <c r="E228" s="1" t="n">
        <v>46314</v>
      </c>
      <c r="F228" t="inlineStr">
        <is>
          <t>VÄSTRA GÖTALANDS LÄN</t>
        </is>
      </c>
      <c r="G228" t="inlineStr">
        <is>
          <t>LIDKÖPING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3762-2024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45558</v>
      </c>
      <c r="E229" s="1" t="n">
        <v>46314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1807-2022</t>
        </is>
      </c>
      <c r="B230" t="inlineStr">
        <is>
          <t>samrådsanmälan</t>
        </is>
      </c>
      <c r="C230" t="inlineStr">
        <is>
          <t>Skogsbilväg</t>
        </is>
      </c>
      <c r="D230" s="1" t="n">
        <v>44656</v>
      </c>
      <c r="E230" s="1" t="n">
        <v>46314</v>
      </c>
      <c r="F230" t="inlineStr">
        <is>
          <t>VÄSTRA GÖTALANDS LÄN</t>
        </is>
      </c>
      <c r="G230" t="inlineStr">
        <is>
          <t>LIDKÖPING</t>
        </is>
      </c>
      <c r="H230" t="inlineStr">
        <is>
          <t>Kyrkan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320-2025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46314</v>
      </c>
      <c r="F231" t="inlineStr">
        <is>
          <t>VÄSTRA GÖTALANDS LÄN</t>
        </is>
      </c>
      <c r="G231" t="inlineStr">
        <is>
          <t>LIDKÖPING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319-2025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45688</v>
      </c>
      <c r="E232" s="1" t="n">
        <v>46314</v>
      </c>
      <c r="F232" t="inlineStr">
        <is>
          <t>VÄSTRA GÖTALANDS LÄN</t>
        </is>
      </c>
      <c r="G232" t="inlineStr">
        <is>
          <t>LIDKÖPING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2767-2022</t>
        </is>
      </c>
      <c r="B233" t="inlineStr">
        <is>
          <t>samrådsanmälan</t>
        </is>
      </c>
      <c r="C233" t="inlineStr">
        <is>
          <t>Åtgärd i nyckelbiotop</t>
        </is>
      </c>
      <c r="D233" s="1" t="n">
        <v>44705</v>
      </c>
      <c r="E233" s="1" t="n">
        <v>46314</v>
      </c>
      <c r="F233" t="inlineStr">
        <is>
          <t>VÄSTRA GÖTALANDS LÄN</t>
        </is>
      </c>
      <c r="G233" t="inlineStr">
        <is>
          <t>LIDKÖPING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2026-10-19T02:03:27Z</dcterms:created>
  <dcterms:modified xmlns:dcterms="http://purl.org/dc/terms/" xmlns:xsi="http://www.w3.org/2001/XMLSchema-instance" xsi:type="dcterms:W3CDTF">2026-10-19T02:03:27Z</dcterms:modified>
</cp:coreProperties>
</file>