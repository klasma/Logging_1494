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46302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46302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46302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46302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46302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46302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46302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46302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46302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46302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46302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46302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46302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46302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46302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24352-2025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45797</v>
      </c>
      <c r="E21" s="1" t="n">
        <v>46302</v>
      </c>
      <c r="F21" t="inlineStr">
        <is>
          <t>VÄSTRA GÖTALANDS LÄN</t>
        </is>
      </c>
      <c r="G21" t="inlineStr">
        <is>
          <t>LIDKÖPING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HYPERLINK("https://klasma.github.io/Logging_1494/artfynd/A 24352-2025 artfynd.xlsx", "A 24352-2025")</f>
        <v/>
      </c>
      <c r="X21">
        <f>HYPERLINK("https://klasma.github.io/Logging_1494/kartor/A 24352-2025 karta.png", "A 24352-2025")</f>
        <v/>
      </c>
      <c r="Y21">
        <f>HYPERLINK("https://klasma.github.io/Logging_1494/kartor_geotiff/A 24352-2025 georefererad karta.tif", "A 24352-2025")</f>
        <v/>
      </c>
      <c r="AA21">
        <f>HYPERLINK("https://klasma.github.io/Logging_1494/klagomål/A 24352-2025 FSC-klagomål.docx", "A 24352-2025")</f>
        <v/>
      </c>
      <c r="AB21">
        <f>HYPERLINK("https://klasma.github.io/Logging_1494/klagomålsmail/A 24352-2025 FSC-klagomål mail.docx", "A 24352-2025")</f>
        <v/>
      </c>
      <c r="AC21">
        <f>HYPERLINK("https://klasma.github.io/Logging_1494/tillsyn/A 24352-2025 tillsynsbegäran.docx", "A 24352-2025")</f>
        <v/>
      </c>
      <c r="AD21">
        <f>HYPERLINK("https://klasma.github.io/Logging_1494/tillsynsmail/A 24352-2025 tillsynsbegäran mail.docx", "A 24352-2025")</f>
        <v/>
      </c>
      <c r="AE21">
        <f>HYPERLINK("https://klasma.github.io/Logging_1494/fåglar/A 24352-2025 prioriterade fågelarter.docx", "A 24352-2025")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46302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46302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46302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46302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46302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46302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46302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46302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46302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46302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46302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46302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46302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46302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46302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46302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46302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46302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46302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46302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46302</v>
      </c>
      <c r="F42" t="inlineStr">
        <is>
          <t>VÄSTRA GÖTALANDS LÄN</t>
        </is>
      </c>
      <c r="G42" t="inlineStr">
        <is>
          <t>LIDKÖPING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46302</v>
      </c>
      <c r="F43" t="inlineStr">
        <is>
          <t>VÄSTRA GÖTALANDS LÄN</t>
        </is>
      </c>
      <c r="G43" t="inlineStr">
        <is>
          <t>LIDKÖPING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60642-2023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45260</v>
      </c>
      <c r="E44" s="1" t="n">
        <v>46302</v>
      </c>
      <c r="F44" t="inlineStr">
        <is>
          <t>VÄSTRA GÖTALANDS LÄN</t>
        </is>
      </c>
      <c r="G44" t="inlineStr">
        <is>
          <t>LIDKÖPING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46302</v>
      </c>
      <c r="F45" t="inlineStr">
        <is>
          <t>VÄSTRA GÖTALANDS LÄN</t>
        </is>
      </c>
      <c r="G45" t="inlineStr">
        <is>
          <t>LIDKÖPING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46302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46302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45375</v>
      </c>
      <c r="E48" s="1" t="n">
        <v>46302</v>
      </c>
      <c r="F48" t="inlineStr">
        <is>
          <t>VÄSTRA GÖTALANDS LÄN</t>
        </is>
      </c>
      <c r="G48" t="inlineStr">
        <is>
          <t>LIDKÖPING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45623</v>
      </c>
      <c r="E49" s="1" t="n">
        <v>46302</v>
      </c>
      <c r="F49" t="inlineStr">
        <is>
          <t>VÄSTRA GÖTALANDS LÄN</t>
        </is>
      </c>
      <c r="G49" t="inlineStr">
        <is>
          <t>LIDKÖPING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46302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46302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44819</v>
      </c>
      <c r="E52" s="1" t="n">
        <v>46302</v>
      </c>
      <c r="F52" t="inlineStr">
        <is>
          <t>VÄSTRA GÖTALANDS LÄN</t>
        </is>
      </c>
      <c r="G52" t="inlineStr">
        <is>
          <t>LIDKÖPING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49755-2022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46302</v>
      </c>
      <c r="F53" t="inlineStr">
        <is>
          <t>VÄSTRA GÖTALANDS LÄN</t>
        </is>
      </c>
      <c r="G53" t="inlineStr">
        <is>
          <t>LIDKÖPING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63778-2023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45278</v>
      </c>
      <c r="E54" s="1" t="n">
        <v>46302</v>
      </c>
      <c r="F54" t="inlineStr">
        <is>
          <t>VÄSTRA GÖTALANDS LÄN</t>
        </is>
      </c>
      <c r="G54" t="inlineStr">
        <is>
          <t>LIDKÖPING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58420-2023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45250</v>
      </c>
      <c r="E55" s="1" t="n">
        <v>46302</v>
      </c>
      <c r="F55" t="inlineStr">
        <is>
          <t>VÄSTRA GÖTALANDS LÄN</t>
        </is>
      </c>
      <c r="G55" t="inlineStr">
        <is>
          <t>LIDKÖPING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46302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46302</v>
      </c>
      <c r="F57" t="inlineStr">
        <is>
          <t>VÄSTRA GÖTALANDS LÄN</t>
        </is>
      </c>
      <c r="G57" t="inlineStr">
        <is>
          <t>LIDKÖPING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58620-2022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46302</v>
      </c>
      <c r="F58" t="inlineStr">
        <is>
          <t>VÄSTRA GÖTALANDS LÄN</t>
        </is>
      </c>
      <c r="G58" t="inlineStr">
        <is>
          <t>LIDKÖPING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46302</v>
      </c>
      <c r="F59" t="inlineStr">
        <is>
          <t>VÄSTRA GÖTALANDS LÄN</t>
        </is>
      </c>
      <c r="G59" t="inlineStr">
        <is>
          <t>LIDKÖPING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46302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46302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45670</v>
      </c>
      <c r="E62" s="1" t="n">
        <v>46302</v>
      </c>
      <c r="F62" t="inlineStr">
        <is>
          <t>VÄSTRA GÖTALANDS LÄN</t>
        </is>
      </c>
      <c r="G62" t="inlineStr">
        <is>
          <t>LIDKÖPING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46302</v>
      </c>
      <c r="F63" t="inlineStr">
        <is>
          <t>VÄSTRA GÖTALANDS LÄN</t>
        </is>
      </c>
      <c r="G63" t="inlineStr">
        <is>
          <t>LIDKÖPING</t>
        </is>
      </c>
      <c r="I63" t="n">
        <v>17.4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46302</v>
      </c>
      <c r="F64" t="inlineStr">
        <is>
          <t>VÄSTRA GÖTALANDS LÄN</t>
        </is>
      </c>
      <c r="G64" t="inlineStr">
        <is>
          <t>LIDKÖPING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46302</v>
      </c>
      <c r="F65" t="inlineStr">
        <is>
          <t>VÄSTRA GÖTALANDS LÄN</t>
        </is>
      </c>
      <c r="G65" t="inlineStr">
        <is>
          <t>LIDKÖPING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46302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46072</v>
      </c>
      <c r="E67" s="1" t="n">
        <v>46302</v>
      </c>
      <c r="F67" t="inlineStr">
        <is>
          <t>VÄSTRA GÖTALANDS LÄN</t>
        </is>
      </c>
      <c r="G67" t="inlineStr">
        <is>
          <t>LIDKÖPING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46302</v>
      </c>
      <c r="F68" t="inlineStr">
        <is>
          <t>VÄSTRA GÖTALANDS LÄN</t>
        </is>
      </c>
      <c r="G68" t="inlineStr">
        <is>
          <t>LIDKÖPING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45601</v>
      </c>
      <c r="E69" s="1" t="n">
        <v>46302</v>
      </c>
      <c r="F69" t="inlineStr">
        <is>
          <t>VÄSTRA GÖTALANDS LÄN</t>
        </is>
      </c>
      <c r="G69" t="inlineStr">
        <is>
          <t>LIDKÖPING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25762-2023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46302</v>
      </c>
      <c r="F70" t="inlineStr">
        <is>
          <t>VÄSTRA GÖTALANDS LÄN</t>
        </is>
      </c>
      <c r="G70" t="inlineStr">
        <is>
          <t>LIDKÖPING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45125</v>
      </c>
      <c r="E71" s="1" t="n">
        <v>46302</v>
      </c>
      <c r="F71" t="inlineStr">
        <is>
          <t>VÄSTRA GÖTALANDS LÄN</t>
        </is>
      </c>
      <c r="G71" t="inlineStr">
        <is>
          <t>LIDKÖPING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46302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45834</v>
      </c>
      <c r="E73" s="1" t="n">
        <v>46302</v>
      </c>
      <c r="F73" t="inlineStr">
        <is>
          <t>VÄSTRA GÖTALANDS LÄN</t>
        </is>
      </c>
      <c r="G73" t="inlineStr">
        <is>
          <t>LIDKÖPING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46302</v>
      </c>
      <c r="F74" t="inlineStr">
        <is>
          <t>VÄSTRA GÖTALANDS LÄN</t>
        </is>
      </c>
      <c r="G74" t="inlineStr">
        <is>
          <t>LIDKÖPING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46302</v>
      </c>
      <c r="F75" t="inlineStr">
        <is>
          <t>VÄSTRA GÖTALANDS LÄN</t>
        </is>
      </c>
      <c r="G75" t="inlineStr">
        <is>
          <t>LIDKÖPING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46302</v>
      </c>
      <c r="F76" t="inlineStr">
        <is>
          <t>VÄSTRA GÖTALANDS LÄN</t>
        </is>
      </c>
      <c r="G76" t="inlineStr">
        <is>
          <t>LIDKÖPING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46302</v>
      </c>
      <c r="F77" t="inlineStr">
        <is>
          <t>VÄSTRA GÖTALANDS LÄN</t>
        </is>
      </c>
      <c r="G77" t="inlineStr">
        <is>
          <t>LIDKÖPING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46302</v>
      </c>
      <c r="F78" t="inlineStr">
        <is>
          <t>VÄSTRA GÖTALANDS LÄN</t>
        </is>
      </c>
      <c r="G78" t="inlineStr">
        <is>
          <t>LIDKÖPING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46302</v>
      </c>
      <c r="F79" t="inlineStr">
        <is>
          <t>VÄSTRA GÖTALANDS LÄN</t>
        </is>
      </c>
      <c r="G79" t="inlineStr">
        <is>
          <t>LIDKÖPING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59069-2023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45252</v>
      </c>
      <c r="E80" s="1" t="n">
        <v>46302</v>
      </c>
      <c r="F80" t="inlineStr">
        <is>
          <t>VÄSTRA GÖTALANDS LÄN</t>
        </is>
      </c>
      <c r="G80" t="inlineStr">
        <is>
          <t>LIDKÖPING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26356-2025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46302</v>
      </c>
      <c r="F81" t="inlineStr">
        <is>
          <t>VÄSTRA GÖTALANDS LÄN</t>
        </is>
      </c>
      <c r="G81" t="inlineStr">
        <is>
          <t>LIDKÖPING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46302</v>
      </c>
      <c r="F82" t="inlineStr">
        <is>
          <t>VÄSTRA GÖTALANDS LÄN</t>
        </is>
      </c>
      <c r="G82" t="inlineStr">
        <is>
          <t>LIDKÖPING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46302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45867</v>
      </c>
      <c r="E84" s="1" t="n">
        <v>46302</v>
      </c>
      <c r="F84" t="inlineStr">
        <is>
          <t>VÄSTRA GÖTALANDS LÄN</t>
        </is>
      </c>
      <c r="G84" t="inlineStr">
        <is>
          <t>LIDKÖPING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46302</v>
      </c>
      <c r="F85" t="inlineStr">
        <is>
          <t>VÄSTRA GÖTALANDS LÄN</t>
        </is>
      </c>
      <c r="G85" t="inlineStr">
        <is>
          <t>LIDKÖPING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46120</v>
      </c>
      <c r="E86" s="1" t="n">
        <v>46302</v>
      </c>
      <c r="F86" t="inlineStr">
        <is>
          <t>VÄSTRA GÖTALANDS LÄN</t>
        </is>
      </c>
      <c r="G86" t="inlineStr">
        <is>
          <t>LIDKÖPING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17527-2026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46302</v>
      </c>
      <c r="F87" t="inlineStr">
        <is>
          <t>VÄSTRA GÖTALANDS LÄN</t>
        </is>
      </c>
      <c r="G87" t="inlineStr">
        <is>
          <t>LIDKÖPING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46120</v>
      </c>
      <c r="E88" s="1" t="n">
        <v>46302</v>
      </c>
      <c r="F88" t="inlineStr">
        <is>
          <t>VÄSTRA GÖTALANDS LÄN</t>
        </is>
      </c>
      <c r="G88" t="inlineStr">
        <is>
          <t>LIDKÖPING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46302</v>
      </c>
      <c r="F89" t="inlineStr">
        <is>
          <t>VÄSTRA GÖTALANDS LÄN</t>
        </is>
      </c>
      <c r="G89" t="inlineStr">
        <is>
          <t>LIDKÖPING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46302</v>
      </c>
      <c r="F90" t="inlineStr">
        <is>
          <t>VÄSTRA GÖTALANDS LÄN</t>
        </is>
      </c>
      <c r="G90" t="inlineStr">
        <is>
          <t>LIDKÖPING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37195-2025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45875</v>
      </c>
      <c r="E91" s="1" t="n">
        <v>46302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46302</v>
      </c>
      <c r="F92" t="inlineStr">
        <is>
          <t>VÄSTRA GÖTALANDS LÄN</t>
        </is>
      </c>
      <c r="G92" t="inlineStr">
        <is>
          <t>LIDKÖPING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46302</v>
      </c>
      <c r="F93" t="inlineStr">
        <is>
          <t>VÄSTRA GÖTALANDS LÄN</t>
        </is>
      </c>
      <c r="G93" t="inlineStr">
        <is>
          <t>LIDKÖPING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46129</v>
      </c>
      <c r="E94" s="1" t="n">
        <v>46302</v>
      </c>
      <c r="F94" t="inlineStr">
        <is>
          <t>VÄSTRA GÖTALANDS LÄN</t>
        </is>
      </c>
      <c r="G94" t="inlineStr">
        <is>
          <t>LIDKÖPING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46129</v>
      </c>
      <c r="E95" s="1" t="n">
        <v>46302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46302</v>
      </c>
      <c r="F96" t="inlineStr">
        <is>
          <t>VÄSTRA GÖTALANDS LÄN</t>
        </is>
      </c>
      <c r="G96" t="inlineStr">
        <is>
          <t>LIDKÖPING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46302</v>
      </c>
      <c r="F97" t="inlineStr">
        <is>
          <t>VÄSTRA GÖTALANDS LÄN</t>
        </is>
      </c>
      <c r="G97" t="inlineStr">
        <is>
          <t>LIDKÖPING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44767</v>
      </c>
      <c r="E98" s="1" t="n">
        <v>46302</v>
      </c>
      <c r="F98" t="inlineStr">
        <is>
          <t>VÄSTRA GÖTALANDS LÄN</t>
        </is>
      </c>
      <c r="G98" t="inlineStr">
        <is>
          <t>LIDKÖPING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44967</v>
      </c>
      <c r="E99" s="1" t="n">
        <v>46302</v>
      </c>
      <c r="F99" t="inlineStr">
        <is>
          <t>VÄSTRA GÖTALANDS LÄN</t>
        </is>
      </c>
      <c r="G99" t="inlineStr">
        <is>
          <t>LIDKÖPING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46302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46302</v>
      </c>
      <c r="F101" t="inlineStr">
        <is>
          <t>VÄSTRA GÖTALANDS LÄN</t>
        </is>
      </c>
      <c r="G101" t="inlineStr">
        <is>
          <t>LIDKÖPING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45776</v>
      </c>
      <c r="E102" s="1" t="n">
        <v>46302</v>
      </c>
      <c r="F102" t="inlineStr">
        <is>
          <t>VÄSTRA GÖTALANDS LÄN</t>
        </is>
      </c>
      <c r="G102" t="inlineStr">
        <is>
          <t>LIDKÖPING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46302</v>
      </c>
      <c r="F103" t="inlineStr">
        <is>
          <t>VÄSTRA GÖTALANDS LÄN</t>
        </is>
      </c>
      <c r="G103" t="inlineStr">
        <is>
          <t>LIDKÖPING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46302</v>
      </c>
      <c r="F104" t="inlineStr">
        <is>
          <t>VÄSTRA GÖTALANDS LÄN</t>
        </is>
      </c>
      <c r="G104" t="inlineStr">
        <is>
          <t>LIDKÖPING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21017-2026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46144</v>
      </c>
      <c r="E105" s="1" t="n">
        <v>46302</v>
      </c>
      <c r="F105" t="inlineStr">
        <is>
          <t>VÄSTRA GÖTALANDS LÄN</t>
        </is>
      </c>
      <c r="G105" t="inlineStr">
        <is>
          <t>LIDKÖPING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46001</v>
      </c>
      <c r="E106" s="1" t="n">
        <v>46302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Kyrkan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46302</v>
      </c>
      <c r="F107" t="inlineStr">
        <is>
          <t>VÄSTRA GÖTALANDS LÄN</t>
        </is>
      </c>
      <c r="G107" t="inlineStr">
        <is>
          <t>LIDKÖPING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46302</v>
      </c>
      <c r="F108" t="inlineStr">
        <is>
          <t>VÄSTRA GÖTALANDS LÄN</t>
        </is>
      </c>
      <c r="G108" t="inlineStr">
        <is>
          <t>LIDKÖPING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46302</v>
      </c>
      <c r="F109" t="inlineStr">
        <is>
          <t>VÄSTRA GÖTALANDS LÄN</t>
        </is>
      </c>
      <c r="G109" t="inlineStr">
        <is>
          <t>LIDKÖPING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46302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46302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46178</v>
      </c>
      <c r="E112" s="1" t="n">
        <v>46302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46302</v>
      </c>
      <c r="F113" t="inlineStr">
        <is>
          <t>VÄSTRA GÖTALANDS LÄN</t>
        </is>
      </c>
      <c r="G113" t="inlineStr">
        <is>
          <t>LIDKÖPING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46302</v>
      </c>
      <c r="F114" t="inlineStr">
        <is>
          <t>VÄSTRA GÖTALANDS LÄN</t>
        </is>
      </c>
      <c r="G114" t="inlineStr">
        <is>
          <t>LIDKÖPING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46302</v>
      </c>
      <c r="F115" t="inlineStr">
        <is>
          <t>VÄSTRA GÖTALANDS LÄN</t>
        </is>
      </c>
      <c r="G115" t="inlineStr">
        <is>
          <t>LIDKÖPING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46190</v>
      </c>
      <c r="E116" s="1" t="n">
        <v>46302</v>
      </c>
      <c r="F116" t="inlineStr">
        <is>
          <t>VÄSTRA GÖTALANDS LÄN</t>
        </is>
      </c>
      <c r="G116" t="inlineStr">
        <is>
          <t>LIDKÖPING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46302</v>
      </c>
      <c r="F117" t="inlineStr">
        <is>
          <t>VÄSTRA GÖTALANDS LÄN</t>
        </is>
      </c>
      <c r="G117" t="inlineStr">
        <is>
          <t>LIDKÖPING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46302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46302</v>
      </c>
      <c r="F119" t="inlineStr">
        <is>
          <t>VÄSTRA GÖTALANDS LÄN</t>
        </is>
      </c>
      <c r="G119" t="inlineStr">
        <is>
          <t>LIDKÖPING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46302</v>
      </c>
      <c r="F120" t="inlineStr">
        <is>
          <t>VÄSTRA GÖTALANDS LÄN</t>
        </is>
      </c>
      <c r="G120" t="inlineStr">
        <is>
          <t>LIDKÖPING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46302</v>
      </c>
      <c r="F121" t="inlineStr">
        <is>
          <t>VÄSTRA GÖTALANDS LÄN</t>
        </is>
      </c>
      <c r="G121" t="inlineStr">
        <is>
          <t>LIDKÖPING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28309-2026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46196</v>
      </c>
      <c r="E122" s="1" t="n">
        <v>46302</v>
      </c>
      <c r="F122" t="inlineStr">
        <is>
          <t>VÄSTRA GÖTALANDS LÄN</t>
        </is>
      </c>
      <c r="G122" t="inlineStr">
        <is>
          <t>LIDKÖPING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46302</v>
      </c>
      <c r="F123" t="inlineStr">
        <is>
          <t>VÄSTRA GÖTALANDS LÄN</t>
        </is>
      </c>
      <c r="G123" t="inlineStr">
        <is>
          <t>LIDKÖPING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45529</v>
      </c>
      <c r="E124" s="1" t="n">
        <v>46302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45432</v>
      </c>
      <c r="E125" s="1" t="n">
        <v>46302</v>
      </c>
      <c r="F125" t="inlineStr">
        <is>
          <t>VÄSTRA GÖTALANDS LÄN</t>
        </is>
      </c>
      <c r="G125" t="inlineStr">
        <is>
          <t>LIDKÖPING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46302</v>
      </c>
      <c r="F126" t="inlineStr">
        <is>
          <t>VÄSTRA GÖTALANDS LÄN</t>
        </is>
      </c>
      <c r="G126" t="inlineStr">
        <is>
          <t>LIDKÖPING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46302</v>
      </c>
      <c r="F127" t="inlineStr">
        <is>
          <t>VÄSTRA GÖTALANDS LÄN</t>
        </is>
      </c>
      <c r="G127" t="inlineStr">
        <is>
          <t>LIDKÖPING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46302</v>
      </c>
      <c r="F128" t="inlineStr">
        <is>
          <t>VÄSTRA GÖTALANDS LÄN</t>
        </is>
      </c>
      <c r="G128" t="inlineStr">
        <is>
          <t>LIDKÖPING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34779-2023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46302</v>
      </c>
      <c r="F129" t="inlineStr">
        <is>
          <t>VÄSTRA GÖTALANDS LÄN</t>
        </is>
      </c>
      <c r="G129" t="inlineStr">
        <is>
          <t>LIDKÖPING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46302</v>
      </c>
      <c r="F130" t="inlineStr">
        <is>
          <t>VÄSTRA GÖTALANDS LÄN</t>
        </is>
      </c>
      <c r="G130" t="inlineStr">
        <is>
          <t>LIDKÖPING</t>
        </is>
      </c>
      <c r="H130" t="inlineStr">
        <is>
          <t>Kommuner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58393-2022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44901</v>
      </c>
      <c r="E131" s="1" t="n">
        <v>46302</v>
      </c>
      <c r="F131" t="inlineStr">
        <is>
          <t>VÄSTRA GÖTALANDS LÄN</t>
        </is>
      </c>
      <c r="G131" t="inlineStr">
        <is>
          <t>LIDKÖPING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46302</v>
      </c>
      <c r="F132" t="inlineStr">
        <is>
          <t>VÄSTRA GÖTALANDS LÄN</t>
        </is>
      </c>
      <c r="G132" t="inlineStr">
        <is>
          <t>LIDKÖPING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46302</v>
      </c>
      <c r="F133" t="inlineStr">
        <is>
          <t>VÄSTRA GÖTALANDS LÄN</t>
        </is>
      </c>
      <c r="G133" t="inlineStr">
        <is>
          <t>LIDKÖPING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45233</v>
      </c>
      <c r="E134" s="1" t="n">
        <v>46302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46302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46302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45623</v>
      </c>
      <c r="E137" s="1" t="n">
        <v>46302</v>
      </c>
      <c r="F137" t="inlineStr">
        <is>
          <t>VÄSTRA GÖTALANDS LÄN</t>
        </is>
      </c>
      <c r="G137" t="inlineStr">
        <is>
          <t>LIDKÖPING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46302</v>
      </c>
      <c r="F138" t="inlineStr">
        <is>
          <t>VÄSTRA GÖTALANDS LÄN</t>
        </is>
      </c>
      <c r="G138" t="inlineStr">
        <is>
          <t>LIDKÖPING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46302</v>
      </c>
      <c r="F139" t="inlineStr">
        <is>
          <t>VÄSTRA GÖTALANDS LÄN</t>
        </is>
      </c>
      <c r="G139" t="inlineStr">
        <is>
          <t>LIDKÖPING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46302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Kommuner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46302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45229</v>
      </c>
      <c r="E142" s="1" t="n">
        <v>46302</v>
      </c>
      <c r="F142" t="inlineStr">
        <is>
          <t>VÄSTRA GÖTALANDS LÄN</t>
        </is>
      </c>
      <c r="G142" t="inlineStr">
        <is>
          <t>LIDKÖPING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46302</v>
      </c>
      <c r="F143" t="inlineStr">
        <is>
          <t>VÄSTRA GÖTALANDS LÄN</t>
        </is>
      </c>
      <c r="G143" t="inlineStr">
        <is>
          <t>LIDKÖPING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46273</v>
      </c>
      <c r="E144" s="1" t="n">
        <v>46302</v>
      </c>
      <c r="F144" t="inlineStr">
        <is>
          <t>VÄSTRA GÖTALANDS LÄN</t>
        </is>
      </c>
      <c r="G144" t="inlineStr">
        <is>
          <t>LIDKÖPING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46302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46230</v>
      </c>
      <c r="E146" s="1" t="n">
        <v>46302</v>
      </c>
      <c r="F146" t="inlineStr">
        <is>
          <t>VÄSTRA GÖTALANDS LÄN</t>
        </is>
      </c>
      <c r="G146" t="inlineStr">
        <is>
          <t>LIDKÖPING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46302</v>
      </c>
      <c r="F147" t="inlineStr">
        <is>
          <t>VÄSTRA GÖTALANDS LÄN</t>
        </is>
      </c>
      <c r="G147" t="inlineStr">
        <is>
          <t>LIDKÖPING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46231</v>
      </c>
      <c r="E148" s="1" t="n">
        <v>46302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46231</v>
      </c>
      <c r="E149" s="1" t="n">
        <v>46302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46231</v>
      </c>
      <c r="E150" s="1" t="n">
        <v>46302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46302</v>
      </c>
      <c r="F151" t="inlineStr">
        <is>
          <t>VÄSTRA GÖTALANDS LÄN</t>
        </is>
      </c>
      <c r="G151" t="inlineStr">
        <is>
          <t>LIDKÖPING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46259</v>
      </c>
      <c r="E152" s="1" t="n">
        <v>46302</v>
      </c>
      <c r="F152" t="inlineStr">
        <is>
          <t>VÄSTRA GÖTALANDS LÄN</t>
        </is>
      </c>
      <c r="G152" t="inlineStr">
        <is>
          <t>LIDKÖPING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46302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46280</v>
      </c>
      <c r="E154" s="1" t="n">
        <v>46302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45120</v>
      </c>
      <c r="E155" s="1" t="n">
        <v>46302</v>
      </c>
      <c r="F155" t="inlineStr">
        <is>
          <t>VÄSTRA GÖTALANDS LÄN</t>
        </is>
      </c>
      <c r="G155" t="inlineStr">
        <is>
          <t>LIDKÖPING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46259</v>
      </c>
      <c r="E156" s="1" t="n">
        <v>46302</v>
      </c>
      <c r="F156" t="inlineStr">
        <is>
          <t>VÄSTRA GÖTALANDS LÄN</t>
        </is>
      </c>
      <c r="G156" t="inlineStr">
        <is>
          <t>LIDKÖPING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46280</v>
      </c>
      <c r="E157" s="1" t="n">
        <v>46302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46302</v>
      </c>
      <c r="F158" t="inlineStr">
        <is>
          <t>VÄSTRA GÖTALANDS LÄN</t>
        </is>
      </c>
      <c r="G158" t="inlineStr">
        <is>
          <t>LIDKÖPING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46239</v>
      </c>
      <c r="E159" s="1" t="n">
        <v>46302</v>
      </c>
      <c r="F159" t="inlineStr">
        <is>
          <t>VÄSTRA GÖTALANDS LÄN</t>
        </is>
      </c>
      <c r="G159" t="inlineStr">
        <is>
          <t>LIDKÖPING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44964</v>
      </c>
      <c r="E160" s="1" t="n">
        <v>46302</v>
      </c>
      <c r="F160" t="inlineStr">
        <is>
          <t>VÄSTRA GÖTALANDS LÄN</t>
        </is>
      </c>
      <c r="G160" t="inlineStr">
        <is>
          <t>LIDKÖPING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46302</v>
      </c>
      <c r="F161" t="inlineStr">
        <is>
          <t>VÄSTRA GÖTALANDS LÄN</t>
        </is>
      </c>
      <c r="G161" t="inlineStr">
        <is>
          <t>LIDKÖPING</t>
        </is>
      </c>
      <c r="I161" t="n">
        <v>11.1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32477-2026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46239</v>
      </c>
      <c r="E162" s="1" t="n">
        <v>46302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Kyrkan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46239</v>
      </c>
      <c r="E163" s="1" t="n">
        <v>46302</v>
      </c>
      <c r="F163" t="inlineStr">
        <is>
          <t>VÄSTRA GÖTALANDS LÄN</t>
        </is>
      </c>
      <c r="G163" t="inlineStr">
        <is>
          <t>LIDKÖPING</t>
        </is>
      </c>
      <c r="H163" t="inlineStr">
        <is>
          <t>Kyrkan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46302</v>
      </c>
      <c r="F164" t="inlineStr">
        <is>
          <t>VÄSTRA GÖTALANDS LÄN</t>
        </is>
      </c>
      <c r="G164" t="inlineStr">
        <is>
          <t>LIDKÖPING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32923-2026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46244</v>
      </c>
      <c r="E165" s="1" t="n">
        <v>46302</v>
      </c>
      <c r="F165" t="inlineStr">
        <is>
          <t>VÄSTRA GÖTALANDS LÄN</t>
        </is>
      </c>
      <c r="G165" t="inlineStr">
        <is>
          <t>LIDKÖPING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46244</v>
      </c>
      <c r="E166" s="1" t="n">
        <v>46302</v>
      </c>
      <c r="F166" t="inlineStr">
        <is>
          <t>VÄSTRA GÖTALANDS LÄN</t>
        </is>
      </c>
      <c r="G166" t="inlineStr">
        <is>
          <t>LIDKÖPING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46302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46302</v>
      </c>
      <c r="F168" t="inlineStr">
        <is>
          <t>VÄSTRA GÖTALANDS LÄN</t>
        </is>
      </c>
      <c r="G168" t="inlineStr">
        <is>
          <t>LIDKÖPING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46302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46302</v>
      </c>
      <c r="F170" t="inlineStr">
        <is>
          <t>VÄSTRA GÖTALANDS LÄN</t>
        </is>
      </c>
      <c r="G170" t="inlineStr">
        <is>
          <t>LIDKÖPING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46302</v>
      </c>
      <c r="F171" t="inlineStr">
        <is>
          <t>VÄSTRA GÖTALANDS LÄN</t>
        </is>
      </c>
      <c r="G171" t="inlineStr">
        <is>
          <t>LIDKÖPING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46302</v>
      </c>
      <c r="F172" t="inlineStr">
        <is>
          <t>VÄSTRA GÖTALANDS LÄN</t>
        </is>
      </c>
      <c r="G172" t="inlineStr">
        <is>
          <t>LIDKÖPING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46302</v>
      </c>
      <c r="F173" t="inlineStr">
        <is>
          <t>VÄSTRA GÖTALANDS LÄN</t>
        </is>
      </c>
      <c r="G173" t="inlineStr">
        <is>
          <t>LIDKÖPING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46302</v>
      </c>
      <c r="F174" t="inlineStr">
        <is>
          <t>VÄSTRA GÖTALANDS LÄN</t>
        </is>
      </c>
      <c r="G174" t="inlineStr">
        <is>
          <t>LIDKÖPING</t>
        </is>
      </c>
      <c r="I174" t="n">
        <v>12.4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46302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45506</v>
      </c>
      <c r="E176" s="1" t="n">
        <v>46302</v>
      </c>
      <c r="F176" t="inlineStr">
        <is>
          <t>VÄSTRA GÖTALANDS LÄN</t>
        </is>
      </c>
      <c r="G176" t="inlineStr">
        <is>
          <t>LIDKÖPING</t>
        </is>
      </c>
      <c r="H176" t="inlineStr">
        <is>
          <t>Kommuner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46302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46302</v>
      </c>
      <c r="F178" t="inlineStr">
        <is>
          <t>VÄSTRA GÖTALANDS LÄN</t>
        </is>
      </c>
      <c r="G178" t="inlineStr">
        <is>
          <t>LIDKÖPING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39914-2026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46290</v>
      </c>
      <c r="E179" s="1" t="n">
        <v>46302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62551-2021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44503</v>
      </c>
      <c r="E180" s="1" t="n">
        <v>46302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56542-2024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45625</v>
      </c>
      <c r="E181" s="1" t="n">
        <v>46302</v>
      </c>
      <c r="F181" t="inlineStr">
        <is>
          <t>VÄSTRA GÖTALANDS LÄN</t>
        </is>
      </c>
      <c r="G181" t="inlineStr">
        <is>
          <t>LIDKÖPING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46302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45366</v>
      </c>
      <c r="E183" s="1" t="n">
        <v>46302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46302</v>
      </c>
      <c r="F184" t="inlineStr">
        <is>
          <t>VÄSTRA GÖTALANDS LÄN</t>
        </is>
      </c>
      <c r="G184" t="inlineStr">
        <is>
          <t>LIDKÖPING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46302</v>
      </c>
      <c r="F185" t="inlineStr">
        <is>
          <t>VÄSTRA GÖTALANDS LÄN</t>
        </is>
      </c>
      <c r="G185" t="inlineStr">
        <is>
          <t>LIDKÖPING</t>
        </is>
      </c>
      <c r="I185" t="n">
        <v>17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46295</v>
      </c>
      <c r="E186" s="1" t="n">
        <v>46302</v>
      </c>
      <c r="F186" t="inlineStr">
        <is>
          <t>VÄSTRA GÖTALANDS LÄN</t>
        </is>
      </c>
      <c r="G186" t="inlineStr">
        <is>
          <t>LIDKÖPING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44902</v>
      </c>
      <c r="E187" s="1" t="n">
        <v>46302</v>
      </c>
      <c r="F187" t="inlineStr">
        <is>
          <t>VÄSTRA GÖTALANDS LÄN</t>
        </is>
      </c>
      <c r="G187" t="inlineStr">
        <is>
          <t>LIDKÖPING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46302</v>
      </c>
      <c r="F188" t="inlineStr">
        <is>
          <t>VÄSTRA GÖTALANDS LÄN</t>
        </is>
      </c>
      <c r="G188" t="inlineStr">
        <is>
          <t>LIDKÖPING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33984-2026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46252</v>
      </c>
      <c r="E189" s="1" t="n">
        <v>46302</v>
      </c>
      <c r="F189" t="inlineStr">
        <is>
          <t>VÄSTRA GÖTALANDS LÄN</t>
        </is>
      </c>
      <c r="G189" t="inlineStr">
        <is>
          <t>LIDKÖPING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46302</v>
      </c>
      <c r="F190" t="inlineStr">
        <is>
          <t>VÄSTRA GÖTALANDS LÄN</t>
        </is>
      </c>
      <c r="G190" t="inlineStr">
        <is>
          <t>LIDKÖPING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46271</v>
      </c>
      <c r="E191" s="1" t="n">
        <v>46302</v>
      </c>
      <c r="F191" t="inlineStr">
        <is>
          <t>VÄSTRA GÖTALANDS LÄN</t>
        </is>
      </c>
      <c r="G191" t="inlineStr">
        <is>
          <t>LIDKÖPING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46302</v>
      </c>
      <c r="F192" t="inlineStr">
        <is>
          <t>VÄSTRA GÖTALANDS LÄN</t>
        </is>
      </c>
      <c r="G192" t="inlineStr">
        <is>
          <t>LIDKÖPING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46302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45169</v>
      </c>
      <c r="E194" s="1" t="n">
        <v>46302</v>
      </c>
      <c r="F194" t="inlineStr">
        <is>
          <t>VÄSTRA GÖTALANDS LÄN</t>
        </is>
      </c>
      <c r="G194" t="inlineStr">
        <is>
          <t>LIDKÖPING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46302</v>
      </c>
      <c r="F195" t="inlineStr">
        <is>
          <t>VÄSTRA GÖTALANDS LÄN</t>
        </is>
      </c>
      <c r="G195" t="inlineStr">
        <is>
          <t>LIDKÖPING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46302</v>
      </c>
      <c r="F196" t="inlineStr">
        <is>
          <t>VÄSTRA GÖTALANDS LÄN</t>
        </is>
      </c>
      <c r="G196" t="inlineStr">
        <is>
          <t>LIDKÖPING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62541-2021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44503</v>
      </c>
      <c r="E197" s="1" t="n">
        <v>46302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46302</v>
      </c>
      <c r="F198" t="inlineStr">
        <is>
          <t>VÄSTRA GÖTALANDS LÄN</t>
        </is>
      </c>
      <c r="G198" t="inlineStr">
        <is>
          <t>LIDKÖPING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46302</v>
      </c>
      <c r="F199" t="inlineStr">
        <is>
          <t>VÄSTRA GÖTALANDS LÄN</t>
        </is>
      </c>
      <c r="G199" t="inlineStr">
        <is>
          <t>LIDKÖPING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46302</v>
      </c>
      <c r="F200" t="inlineStr">
        <is>
          <t>VÄSTRA GÖTALANDS LÄN</t>
        </is>
      </c>
      <c r="G200" t="inlineStr">
        <is>
          <t>LIDKÖPING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46302</v>
      </c>
      <c r="F201" t="inlineStr">
        <is>
          <t>VÄSTRA GÖTALANDS LÄN</t>
        </is>
      </c>
      <c r="G201" t="inlineStr">
        <is>
          <t>LIDKÖPING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46302</v>
      </c>
      <c r="F202" t="inlineStr">
        <is>
          <t>VÄSTRA GÖTALANDS LÄN</t>
        </is>
      </c>
      <c r="G202" t="inlineStr">
        <is>
          <t>LIDKÖPING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46302</v>
      </c>
      <c r="F203" t="inlineStr">
        <is>
          <t>VÄSTRA GÖTALANDS LÄN</t>
        </is>
      </c>
      <c r="G203" t="inlineStr">
        <is>
          <t>LIDKÖPING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45127</v>
      </c>
      <c r="E204" s="1" t="n">
        <v>46302</v>
      </c>
      <c r="F204" t="inlineStr">
        <is>
          <t>VÄSTRA GÖTALANDS LÄN</t>
        </is>
      </c>
      <c r="G204" t="inlineStr">
        <is>
          <t>LIDKÖPING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46302</v>
      </c>
      <c r="F205" t="inlineStr">
        <is>
          <t>VÄSTRA GÖTALANDS LÄN</t>
        </is>
      </c>
      <c r="G205" t="inlineStr">
        <is>
          <t>LIDKÖPING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46302</v>
      </c>
      <c r="F206" t="inlineStr">
        <is>
          <t>VÄSTRA GÖTALANDS LÄN</t>
        </is>
      </c>
      <c r="G206" t="inlineStr">
        <is>
          <t>LIDKÖPING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45006</v>
      </c>
      <c r="E207" s="1" t="n">
        <v>46302</v>
      </c>
      <c r="F207" t="inlineStr">
        <is>
          <t>VÄSTRA GÖTALANDS LÄN</t>
        </is>
      </c>
      <c r="G207" t="inlineStr">
        <is>
          <t>LIDKÖPING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45527</v>
      </c>
      <c r="E208" s="1" t="n">
        <v>46302</v>
      </c>
      <c r="F208" t="inlineStr">
        <is>
          <t>VÄSTRA GÖTALANDS LÄN</t>
        </is>
      </c>
      <c r="G208" t="inlineStr">
        <is>
          <t>LIDKÖPING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53769-2024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45615</v>
      </c>
      <c r="E209" s="1" t="n">
        <v>46302</v>
      </c>
      <c r="F209" t="inlineStr">
        <is>
          <t>VÄSTRA GÖTALANDS LÄN</t>
        </is>
      </c>
      <c r="G209" t="inlineStr">
        <is>
          <t>LIDKÖPING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46302</v>
      </c>
      <c r="F210" t="inlineStr">
        <is>
          <t>VÄSTRA GÖTALANDS LÄN</t>
        </is>
      </c>
      <c r="G210" t="inlineStr">
        <is>
          <t>LIDKÖPING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46302</v>
      </c>
      <c r="F211" t="inlineStr">
        <is>
          <t>VÄSTRA GÖTALANDS LÄN</t>
        </is>
      </c>
      <c r="G211" t="inlineStr">
        <is>
          <t>LIDKÖPING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46302</v>
      </c>
      <c r="F212" t="inlineStr">
        <is>
          <t>VÄSTRA GÖTALANDS LÄN</t>
        </is>
      </c>
      <c r="G212" t="inlineStr">
        <is>
          <t>LIDKÖPING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45568</v>
      </c>
      <c r="E213" s="1" t="n">
        <v>46302</v>
      </c>
      <c r="F213" t="inlineStr">
        <is>
          <t>VÄSTRA GÖTALANDS LÄN</t>
        </is>
      </c>
      <c r="G213" t="inlineStr">
        <is>
          <t>LIDKÖPING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46302</v>
      </c>
      <c r="F214" t="inlineStr">
        <is>
          <t>VÄSTRA GÖTALANDS LÄN</t>
        </is>
      </c>
      <c r="G214" t="inlineStr">
        <is>
          <t>LIDKÖPING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46302</v>
      </c>
      <c r="F215" t="inlineStr">
        <is>
          <t>VÄSTRA GÖTALANDS LÄN</t>
        </is>
      </c>
      <c r="G215" t="inlineStr">
        <is>
          <t>LIDKÖPING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46302</v>
      </c>
      <c r="F216" t="inlineStr">
        <is>
          <t>VÄSTRA GÖTALANDS LÄN</t>
        </is>
      </c>
      <c r="G216" t="inlineStr">
        <is>
          <t>LIDKÖPING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45625</v>
      </c>
      <c r="E217" s="1" t="n">
        <v>46302</v>
      </c>
      <c r="F217" t="inlineStr">
        <is>
          <t>VÄSTRA GÖTALANDS LÄN</t>
        </is>
      </c>
      <c r="G217" t="inlineStr">
        <is>
          <t>LIDKÖPING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46302</v>
      </c>
      <c r="F218" t="inlineStr">
        <is>
          <t>VÄSTRA GÖTALANDS LÄN</t>
        </is>
      </c>
      <c r="G218" t="inlineStr">
        <is>
          <t>LIDKÖPING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46302</v>
      </c>
      <c r="F219" t="inlineStr">
        <is>
          <t>VÄSTRA GÖTALANDS LÄN</t>
        </is>
      </c>
      <c r="G219" t="inlineStr">
        <is>
          <t>LIDKÖPING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46302</v>
      </c>
      <c r="F220" t="inlineStr">
        <is>
          <t>VÄSTRA GÖTALANDS LÄN</t>
        </is>
      </c>
      <c r="G220" t="inlineStr">
        <is>
          <t>LIDKÖPING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53275-2023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45229</v>
      </c>
      <c r="E221" s="1" t="n">
        <v>46302</v>
      </c>
      <c r="F221" t="inlineStr">
        <is>
          <t>VÄSTRA GÖTALANDS LÄN</t>
        </is>
      </c>
      <c r="G221" t="inlineStr">
        <is>
          <t>LIDKÖPING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46302</v>
      </c>
      <c r="F222" t="inlineStr">
        <is>
          <t>VÄSTRA GÖTALANDS LÄN</t>
        </is>
      </c>
      <c r="G222" t="inlineStr">
        <is>
          <t>LIDKÖPING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45727</v>
      </c>
      <c r="E223" s="1" t="n">
        <v>46302</v>
      </c>
      <c r="F223" t="inlineStr">
        <is>
          <t>VÄSTRA GÖTALANDS LÄN</t>
        </is>
      </c>
      <c r="G223" t="inlineStr">
        <is>
          <t>LIDKÖPING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19840-2025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45771</v>
      </c>
      <c r="E224" s="1" t="n">
        <v>46302</v>
      </c>
      <c r="F224" t="inlineStr">
        <is>
          <t>VÄSTRA GÖTALANDS LÄN</t>
        </is>
      </c>
      <c r="G224" t="inlineStr">
        <is>
          <t>LIDKÖPING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3762-2024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45558</v>
      </c>
      <c r="E225" s="1" t="n">
        <v>46302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1807-2022</t>
        </is>
      </c>
      <c r="B226" t="inlineStr">
        <is>
          <t>samrådsanmälan</t>
        </is>
      </c>
      <c r="C226" t="inlineStr">
        <is>
          <t>Skogsbilväg</t>
        </is>
      </c>
      <c r="D226" s="1" t="n">
        <v>44656</v>
      </c>
      <c r="E226" s="1" t="n">
        <v>46302</v>
      </c>
      <c r="F226" t="inlineStr">
        <is>
          <t>VÄSTRA GÖTALANDS LÄN</t>
        </is>
      </c>
      <c r="G226" t="inlineStr">
        <is>
          <t>LIDKÖPING</t>
        </is>
      </c>
      <c r="H226" t="inlineStr">
        <is>
          <t>Kyrkan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320-2025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46302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319-2025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45688</v>
      </c>
      <c r="E228" s="1" t="n">
        <v>46302</v>
      </c>
      <c r="F228" t="inlineStr">
        <is>
          <t>VÄSTRA GÖTALANDS LÄN</t>
        </is>
      </c>
      <c r="G228" t="inlineStr">
        <is>
          <t>LIDKÖPING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2767-2022</t>
        </is>
      </c>
      <c r="B229" t="inlineStr">
        <is>
          <t>samrådsanmälan</t>
        </is>
      </c>
      <c r="C229" t="inlineStr">
        <is>
          <t>Åtgärd i nyckelbiotop</t>
        </is>
      </c>
      <c r="D229" s="1" t="n">
        <v>44705</v>
      </c>
      <c r="E229" s="1" t="n">
        <v>46302</v>
      </c>
      <c r="F229" t="inlineStr">
        <is>
          <t>VÄSTRA GÖTALANDS LÄN</t>
        </is>
      </c>
      <c r="G229" t="inlineStr">
        <is>
          <t>LIDKÖPING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2026-10-07T02:08:21Z</dcterms:created>
  <dcterms:modified xmlns:dcterms="http://purl.org/dc/terms/" xmlns:xsi="http://www.w3.org/2001/XMLSchema-instance" xsi:type="dcterms:W3CDTF">2026-10-07T02:08:22Z</dcterms:modified>
</cp:coreProperties>
</file>