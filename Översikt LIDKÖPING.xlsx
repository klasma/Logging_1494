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46229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46229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46229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46229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46229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46229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46229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46229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46229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46229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46229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46229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62569-2022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44924</v>
      </c>
      <c r="E16" s="1" t="n">
        <v>46229</v>
      </c>
      <c r="F16" t="inlineStr">
        <is>
          <t>VÄSTRA GÖTALANDS LÄN</t>
        </is>
      </c>
      <c r="G16" t="inlineStr">
        <is>
          <t>LIDKÖPING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HYPERLINK("https://klasma.github.io/Logging_1494/artfynd/A 62569-2022 artfynd.xlsx", "A 62569-2022")</f>
        <v/>
      </c>
      <c r="X16">
        <f>HYPERLINK("https://klasma.github.io/Logging_1494/kartor/A 62569-2022 karta.png", "A 62569-2022")</f>
        <v/>
      </c>
      <c r="Y16">
        <f>HYPERLINK("https://klasma.github.io/Logging_1494/kartor_geotiff/A 62569-2022 georefererad karta.tif", "A 62569-2022")</f>
        <v/>
      </c>
      <c r="AA16">
        <f>HYPERLINK("https://klasma.github.io/Logging_1494/klagomål/A 62569-2022 FSC-klagomål.docx", "A 62569-2022")</f>
        <v/>
      </c>
      <c r="AB16">
        <f>HYPERLINK("https://klasma.github.io/Logging_1494/klagomålsmail/A 62569-2022 FSC-klagomål mail.docx", "A 62569-2022")</f>
        <v/>
      </c>
      <c r="AC16">
        <f>HYPERLINK("https://klasma.github.io/Logging_1494/tillsyn/A 62569-2022 tillsynsbegäran.docx", "A 62569-2022")</f>
        <v/>
      </c>
      <c r="AD16">
        <f>HYPERLINK("https://klasma.github.io/Logging_1494/tillsynsmail/A 62569-2022 tillsynsbegäran mail.docx", "A 62569-2022")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46229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46229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46229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46229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46229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46229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46229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46229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46229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46229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46229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46229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46229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46229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46229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46229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46229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46229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46229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46229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46229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46229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46229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46229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46229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46229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46229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46229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46229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46229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46229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46229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7247-2025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46229</v>
      </c>
      <c r="F49" t="inlineStr">
        <is>
          <t>VÄSTRA GÖTALANDS LÄN</t>
        </is>
      </c>
      <c r="G49" t="inlineStr">
        <is>
          <t>LIDKÖPING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46229</v>
      </c>
      <c r="F50" t="inlineStr">
        <is>
          <t>VÄSTRA GÖTALANDS LÄN</t>
        </is>
      </c>
      <c r="G50" t="inlineStr">
        <is>
          <t>LIDKÖPING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46229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46229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46229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46229</v>
      </c>
      <c r="F54" t="inlineStr">
        <is>
          <t>VÄSTRA GÖTALANDS LÄN</t>
        </is>
      </c>
      <c r="G54" t="inlineStr">
        <is>
          <t>LIDKÖPING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63778-2023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45278</v>
      </c>
      <c r="E55" s="1" t="n">
        <v>46229</v>
      </c>
      <c r="F55" t="inlineStr">
        <is>
          <t>VÄSTRA GÖTALANDS LÄN</t>
        </is>
      </c>
      <c r="G55" t="inlineStr">
        <is>
          <t>LIDKÖPING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45229</v>
      </c>
      <c r="E56" s="1" t="n">
        <v>46229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46229</v>
      </c>
      <c r="F57" t="inlineStr">
        <is>
          <t>VÄSTRA GÖTALANDS LÄN</t>
        </is>
      </c>
      <c r="G57" t="inlineStr">
        <is>
          <t>LIDKÖPING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44928</v>
      </c>
      <c r="E58" s="1" t="n">
        <v>46229</v>
      </c>
      <c r="F58" t="inlineStr">
        <is>
          <t>VÄSTRA GÖTALANDS LÄN</t>
        </is>
      </c>
      <c r="G58" t="inlineStr">
        <is>
          <t>LIDKÖPING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45670</v>
      </c>
      <c r="E59" s="1" t="n">
        <v>46229</v>
      </c>
      <c r="F59" t="inlineStr">
        <is>
          <t>VÄSTRA GÖTALANDS LÄN</t>
        </is>
      </c>
      <c r="G59" t="inlineStr">
        <is>
          <t>LIDKÖPING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44806</v>
      </c>
      <c r="E60" s="1" t="n">
        <v>46229</v>
      </c>
      <c r="F60" t="inlineStr">
        <is>
          <t>VÄSTRA GÖTALANDS LÄN</t>
        </is>
      </c>
      <c r="G60" t="inlineStr">
        <is>
          <t>LIDKÖPING</t>
        </is>
      </c>
      <c r="I60" t="n">
        <v>17.4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46229</v>
      </c>
      <c r="F61" t="inlineStr">
        <is>
          <t>VÄSTRA GÖTALANDS LÄN</t>
        </is>
      </c>
      <c r="G61" t="inlineStr">
        <is>
          <t>LIDKÖPING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46229</v>
      </c>
      <c r="F62" t="inlineStr">
        <is>
          <t>VÄSTRA GÖTALANDS LÄN</t>
        </is>
      </c>
      <c r="G62" t="inlineStr">
        <is>
          <t>LIDKÖPING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59068-2023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45252</v>
      </c>
      <c r="E63" s="1" t="n">
        <v>46229</v>
      </c>
      <c r="F63" t="inlineStr">
        <is>
          <t>VÄSTRA GÖTALANDS LÄN</t>
        </is>
      </c>
      <c r="G63" t="inlineStr">
        <is>
          <t>LIDKÖPING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46229</v>
      </c>
      <c r="F64" t="inlineStr">
        <is>
          <t>VÄSTRA GÖTALANDS LÄN</t>
        </is>
      </c>
      <c r="G64" t="inlineStr">
        <is>
          <t>LIDKÖPING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32952-2023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45125</v>
      </c>
      <c r="E65" s="1" t="n">
        <v>46229</v>
      </c>
      <c r="F65" t="inlineStr">
        <is>
          <t>VÄSTRA GÖTALANDS LÄN</t>
        </is>
      </c>
      <c r="G65" t="inlineStr">
        <is>
          <t>LIDKÖPING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50577-2024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45601</v>
      </c>
      <c r="E66" s="1" t="n">
        <v>46229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37195-2025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45875</v>
      </c>
      <c r="E67" s="1" t="n">
        <v>46229</v>
      </c>
      <c r="F67" t="inlineStr">
        <is>
          <t>VÄSTRA GÖTALANDS LÄN</t>
        </is>
      </c>
      <c r="G67" t="inlineStr">
        <is>
          <t>LIDKÖPING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46229</v>
      </c>
      <c r="F68" t="inlineStr">
        <is>
          <t>VÄSTRA GÖTALANDS LÄN</t>
        </is>
      </c>
      <c r="G68" t="inlineStr">
        <is>
          <t>LIDKÖPING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45155</v>
      </c>
      <c r="E69" s="1" t="n">
        <v>46229</v>
      </c>
      <c r="F69" t="inlineStr">
        <is>
          <t>VÄSTRA GÖTALANDS LÄN</t>
        </is>
      </c>
      <c r="G69" t="inlineStr">
        <is>
          <t>LIDKÖPING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46229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46229</v>
      </c>
      <c r="F71" t="inlineStr">
        <is>
          <t>VÄSTRA GÖTALANDS LÄN</t>
        </is>
      </c>
      <c r="G71" t="inlineStr">
        <is>
          <t>LIDKÖPING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46229</v>
      </c>
      <c r="F72" t="inlineStr">
        <is>
          <t>VÄSTRA GÖTALANDS LÄN</t>
        </is>
      </c>
      <c r="G72" t="inlineStr">
        <is>
          <t>LIDKÖPING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46229</v>
      </c>
      <c r="F73" t="inlineStr">
        <is>
          <t>VÄSTRA GÖTALANDS LÄN</t>
        </is>
      </c>
      <c r="G73" t="inlineStr">
        <is>
          <t>LIDKÖPING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44967</v>
      </c>
      <c r="E74" s="1" t="n">
        <v>46229</v>
      </c>
      <c r="F74" t="inlineStr">
        <is>
          <t>VÄSTRA GÖTALANDS LÄN</t>
        </is>
      </c>
      <c r="G74" t="inlineStr">
        <is>
          <t>LIDKÖPING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46229</v>
      </c>
      <c r="F75" t="inlineStr">
        <is>
          <t>VÄSTRA GÖTALANDS LÄN</t>
        </is>
      </c>
      <c r="G75" t="inlineStr">
        <is>
          <t>LIDKÖPING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46229</v>
      </c>
      <c r="F76" t="inlineStr">
        <is>
          <t>VÄSTRA GÖTALANDS LÄN</t>
        </is>
      </c>
      <c r="G76" t="inlineStr">
        <is>
          <t>LIDKÖPING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44998</v>
      </c>
      <c r="E77" s="1" t="n">
        <v>46229</v>
      </c>
      <c r="F77" t="inlineStr">
        <is>
          <t>VÄSTRA GÖTALANDS LÄN</t>
        </is>
      </c>
      <c r="G77" t="inlineStr">
        <is>
          <t>LIDKÖPING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45776</v>
      </c>
      <c r="E78" s="1" t="n">
        <v>46229</v>
      </c>
      <c r="F78" t="inlineStr">
        <is>
          <t>VÄSTRA GÖTALANDS LÄN</t>
        </is>
      </c>
      <c r="G78" t="inlineStr">
        <is>
          <t>LIDKÖPING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12819-2022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44642</v>
      </c>
      <c r="E79" s="1" t="n">
        <v>46229</v>
      </c>
      <c r="F79" t="inlineStr">
        <is>
          <t>VÄSTRA GÖTALANDS LÄN</t>
        </is>
      </c>
      <c r="G79" t="inlineStr">
        <is>
          <t>LIDKÖPING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46229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45797</v>
      </c>
      <c r="E81" s="1" t="n">
        <v>46229</v>
      </c>
      <c r="F81" t="inlineStr">
        <is>
          <t>VÄSTRA GÖTALANDS LÄN</t>
        </is>
      </c>
      <c r="G81" t="inlineStr">
        <is>
          <t>LIDKÖPING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46229</v>
      </c>
      <c r="F82" t="inlineStr">
        <is>
          <t>VÄSTRA GÖTALANDS LÄN</t>
        </is>
      </c>
      <c r="G82" t="inlineStr">
        <is>
          <t>LIDKÖPING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46229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45660</v>
      </c>
      <c r="E84" s="1" t="n">
        <v>46229</v>
      </c>
      <c r="F84" t="inlineStr">
        <is>
          <t>VÄSTRA GÖTALANDS LÄN</t>
        </is>
      </c>
      <c r="G84" t="inlineStr">
        <is>
          <t>LIDKÖPING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46229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46229</v>
      </c>
      <c r="F86" t="inlineStr">
        <is>
          <t>VÄSTRA GÖTALANDS LÄN</t>
        </is>
      </c>
      <c r="G86" t="inlineStr">
        <is>
          <t>LIDKÖPING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45672</v>
      </c>
      <c r="E87" s="1" t="n">
        <v>46229</v>
      </c>
      <c r="F87" t="inlineStr">
        <is>
          <t>VÄSTRA GÖTALANDS LÄN</t>
        </is>
      </c>
      <c r="G87" t="inlineStr">
        <is>
          <t>LIDKÖPING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52640-2025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46229</v>
      </c>
      <c r="F88" t="inlineStr">
        <is>
          <t>VÄSTRA GÖTALANDS LÄN</t>
        </is>
      </c>
      <c r="G88" t="inlineStr">
        <is>
          <t>LIDKÖPING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62527-2021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46229</v>
      </c>
      <c r="F89" t="inlineStr">
        <is>
          <t>VÄSTRA GÖTALANDS LÄN</t>
        </is>
      </c>
      <c r="G89" t="inlineStr">
        <is>
          <t>LIDKÖPING</t>
        </is>
      </c>
      <c r="I89" t="n">
        <v>22.6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21017-2026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46144</v>
      </c>
      <c r="E90" s="1" t="n">
        <v>46229</v>
      </c>
      <c r="F90" t="inlineStr">
        <is>
          <t>VÄSTRA GÖTALANDS LÄN</t>
        </is>
      </c>
      <c r="G90" t="inlineStr">
        <is>
          <t>LIDKÖPING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46229</v>
      </c>
      <c r="F91" t="inlineStr">
        <is>
          <t>VÄSTRA GÖTALANDS LÄN</t>
        </is>
      </c>
      <c r="G91" t="inlineStr">
        <is>
          <t>LIDKÖPING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46229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46229</v>
      </c>
      <c r="F93" t="inlineStr">
        <is>
          <t>VÄSTRA GÖTALANDS LÄN</t>
        </is>
      </c>
      <c r="G93" t="inlineStr">
        <is>
          <t>LIDKÖPING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46229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45529</v>
      </c>
      <c r="E95" s="1" t="n">
        <v>46229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46229</v>
      </c>
      <c r="F96" t="inlineStr">
        <is>
          <t>VÄSTRA GÖTALANDS LÄN</t>
        </is>
      </c>
      <c r="G96" t="inlineStr">
        <is>
          <t>LIDKÖPING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46190</v>
      </c>
      <c r="E97" s="1" t="n">
        <v>46229</v>
      </c>
      <c r="F97" t="inlineStr">
        <is>
          <t>VÄSTRA GÖTALANDS LÄN</t>
        </is>
      </c>
      <c r="G97" t="inlineStr">
        <is>
          <t>LIDKÖPING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45623</v>
      </c>
      <c r="E98" s="1" t="n">
        <v>46229</v>
      </c>
      <c r="F98" t="inlineStr">
        <is>
          <t>VÄSTRA GÖTALANDS LÄN</t>
        </is>
      </c>
      <c r="G98" t="inlineStr">
        <is>
          <t>LIDKÖPING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46229</v>
      </c>
      <c r="F99" t="inlineStr">
        <is>
          <t>VÄSTRA GÖTALANDS LÄN</t>
        </is>
      </c>
      <c r="G99" t="inlineStr">
        <is>
          <t>LIDKÖPING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46229</v>
      </c>
      <c r="F100" t="inlineStr">
        <is>
          <t>VÄSTRA GÖTALANDS LÄN</t>
        </is>
      </c>
      <c r="G100" t="inlineStr">
        <is>
          <t>LIDKÖPING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46229</v>
      </c>
      <c r="F101" t="inlineStr">
        <is>
          <t>VÄSTRA GÖTALANDS LÄN</t>
        </is>
      </c>
      <c r="G101" t="inlineStr">
        <is>
          <t>LIDKÖPING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46229</v>
      </c>
      <c r="F102" t="inlineStr">
        <is>
          <t>VÄSTRA GÖTALANDS LÄN</t>
        </is>
      </c>
      <c r="G102" t="inlineStr">
        <is>
          <t>LIDKÖPING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28056-2026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46229</v>
      </c>
      <c r="F103" t="inlineStr">
        <is>
          <t>VÄSTRA GÖTALANDS LÄN</t>
        </is>
      </c>
      <c r="G103" t="inlineStr">
        <is>
          <t>LIDKÖPING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46229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46229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44945</v>
      </c>
      <c r="E106" s="1" t="n">
        <v>46229</v>
      </c>
      <c r="F106" t="inlineStr">
        <is>
          <t>VÄSTRA GÖTALANDS LÄN</t>
        </is>
      </c>
      <c r="G106" t="inlineStr">
        <is>
          <t>LIDKÖPING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44994</v>
      </c>
      <c r="E107" s="1" t="n">
        <v>46229</v>
      </c>
      <c r="F107" t="inlineStr">
        <is>
          <t>VÄSTRA GÖTALANDS LÄN</t>
        </is>
      </c>
      <c r="G107" t="inlineStr">
        <is>
          <t>LIDKÖPING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45233</v>
      </c>
      <c r="E108" s="1" t="n">
        <v>46229</v>
      </c>
      <c r="F108" t="inlineStr">
        <is>
          <t>VÄSTRA GÖTALANDS LÄN</t>
        </is>
      </c>
      <c r="G108" t="inlineStr">
        <is>
          <t>LIDKÖPING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45232</v>
      </c>
      <c r="E109" s="1" t="n">
        <v>46229</v>
      </c>
      <c r="F109" t="inlineStr">
        <is>
          <t>VÄSTRA GÖTALANDS LÄN</t>
        </is>
      </c>
      <c r="G109" t="inlineStr">
        <is>
          <t>LIDKÖPING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46229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46229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Kommuner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46229</v>
      </c>
      <c r="F112" t="inlineStr">
        <is>
          <t>VÄSTRA GÖTALANDS LÄN</t>
        </is>
      </c>
      <c r="G112" t="inlineStr">
        <is>
          <t>LIDKÖPING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45623</v>
      </c>
      <c r="E113" s="1" t="n">
        <v>46229</v>
      </c>
      <c r="F113" t="inlineStr">
        <is>
          <t>VÄSTRA GÖTALANDS LÄN</t>
        </is>
      </c>
      <c r="G113" t="inlineStr">
        <is>
          <t>LIDKÖPING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28309-2026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46196</v>
      </c>
      <c r="E114" s="1" t="n">
        <v>46229</v>
      </c>
      <c r="F114" t="inlineStr">
        <is>
          <t>VÄSTRA GÖTALANDS LÄN</t>
        </is>
      </c>
      <c r="G114" t="inlineStr">
        <is>
          <t>LIDKÖPING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46229</v>
      </c>
      <c r="F115" t="inlineStr">
        <is>
          <t>VÄSTRA GÖTALANDS LÄN</t>
        </is>
      </c>
      <c r="G115" t="inlineStr">
        <is>
          <t>LIDKÖPING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25322-2024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46229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46229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Kommuner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45226</v>
      </c>
      <c r="E118" s="1" t="n">
        <v>46229</v>
      </c>
      <c r="F118" t="inlineStr">
        <is>
          <t>VÄSTRA GÖTALANDS LÄN</t>
        </is>
      </c>
      <c r="G118" t="inlineStr">
        <is>
          <t>LIDKÖPING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46229</v>
      </c>
      <c r="F119" t="inlineStr">
        <is>
          <t>VÄSTRA GÖTALANDS LÄN</t>
        </is>
      </c>
      <c r="G119" t="inlineStr">
        <is>
          <t>LIDKÖPING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46229</v>
      </c>
      <c r="F120" t="inlineStr">
        <is>
          <t>VÄSTRA GÖTALANDS LÄN</t>
        </is>
      </c>
      <c r="G120" t="inlineStr">
        <is>
          <t>LIDKÖPING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53273-2023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45229</v>
      </c>
      <c r="E121" s="1" t="n">
        <v>46229</v>
      </c>
      <c r="F121" t="inlineStr">
        <is>
          <t>VÄSTRA GÖTALANDS LÄN</t>
        </is>
      </c>
      <c r="G121" t="inlineStr">
        <is>
          <t>LIDKÖPING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45084</v>
      </c>
      <c r="E122" s="1" t="n">
        <v>46229</v>
      </c>
      <c r="F122" t="inlineStr">
        <is>
          <t>VÄSTRA GÖTALANDS LÄN</t>
        </is>
      </c>
      <c r="G122" t="inlineStr">
        <is>
          <t>LIDKÖPING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46229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Kyrkan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46229</v>
      </c>
      <c r="F124" t="inlineStr">
        <is>
          <t>VÄSTRA GÖTALANDS LÄN</t>
        </is>
      </c>
      <c r="G124" t="inlineStr">
        <is>
          <t>LIDKÖPING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46061</v>
      </c>
      <c r="E125" s="1" t="n">
        <v>46229</v>
      </c>
      <c r="F125" t="inlineStr">
        <is>
          <t>VÄSTRA GÖTALANDS LÄN</t>
        </is>
      </c>
      <c r="G125" t="inlineStr">
        <is>
          <t>LIDKÖPING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46229</v>
      </c>
      <c r="F126" t="inlineStr">
        <is>
          <t>VÄSTRA GÖTALANDS LÄN</t>
        </is>
      </c>
      <c r="G126" t="inlineStr">
        <is>
          <t>LIDKÖPING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45120</v>
      </c>
      <c r="E127" s="1" t="n">
        <v>46229</v>
      </c>
      <c r="F127" t="inlineStr">
        <is>
          <t>VÄSTRA GÖTALANDS LÄN</t>
        </is>
      </c>
      <c r="G127" t="inlineStr">
        <is>
          <t>LIDKÖPING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46072</v>
      </c>
      <c r="E128" s="1" t="n">
        <v>46229</v>
      </c>
      <c r="F128" t="inlineStr">
        <is>
          <t>VÄSTRA GÖTALANDS LÄN</t>
        </is>
      </c>
      <c r="G128" t="inlineStr">
        <is>
          <t>LIDKÖPING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46229</v>
      </c>
      <c r="F129" t="inlineStr">
        <is>
          <t>VÄSTRA GÖTALANDS LÄN</t>
        </is>
      </c>
      <c r="G129" t="inlineStr">
        <is>
          <t>LIDKÖPING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44964</v>
      </c>
      <c r="E130" s="1" t="n">
        <v>46229</v>
      </c>
      <c r="F130" t="inlineStr">
        <is>
          <t>VÄSTRA GÖTALANDS LÄN</t>
        </is>
      </c>
      <c r="G130" t="inlineStr">
        <is>
          <t>LIDKÖPING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45145</v>
      </c>
      <c r="E131" s="1" t="n">
        <v>46229</v>
      </c>
      <c r="F131" t="inlineStr">
        <is>
          <t>VÄSTRA GÖTALANDS LÄN</t>
        </is>
      </c>
      <c r="G131" t="inlineStr">
        <is>
          <t>LIDKÖPING</t>
        </is>
      </c>
      <c r="I131" t="n">
        <v>11.1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46229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44960</v>
      </c>
      <c r="E133" s="1" t="n">
        <v>46229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46229</v>
      </c>
      <c r="F134" t="inlineStr">
        <is>
          <t>VÄSTRA GÖTALANDS LÄN</t>
        </is>
      </c>
      <c r="G134" t="inlineStr">
        <is>
          <t>LIDKÖPING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46229</v>
      </c>
      <c r="F135" t="inlineStr">
        <is>
          <t>VÄSTRA GÖTALANDS LÄN</t>
        </is>
      </c>
      <c r="G135" t="inlineStr">
        <is>
          <t>LIDKÖPING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44851</v>
      </c>
      <c r="E136" s="1" t="n">
        <v>46229</v>
      </c>
      <c r="F136" t="inlineStr">
        <is>
          <t>VÄSTRA GÖTALANDS LÄN</t>
        </is>
      </c>
      <c r="G136" t="inlineStr">
        <is>
          <t>LIDKÖPING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46229</v>
      </c>
      <c r="F137" t="inlineStr">
        <is>
          <t>VÄSTRA GÖTALANDS LÄN</t>
        </is>
      </c>
      <c r="G137" t="inlineStr">
        <is>
          <t>LIDKÖPING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46229</v>
      </c>
      <c r="F138" t="inlineStr">
        <is>
          <t>VÄSTRA GÖTALANDS LÄN</t>
        </is>
      </c>
      <c r="G138" t="inlineStr">
        <is>
          <t>LIDKÖPING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45355</v>
      </c>
      <c r="E139" s="1" t="n">
        <v>46229</v>
      </c>
      <c r="F139" t="inlineStr">
        <is>
          <t>VÄSTRA GÖTALANDS LÄN</t>
        </is>
      </c>
      <c r="G139" t="inlineStr">
        <is>
          <t>LIDKÖPING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46229</v>
      </c>
      <c r="F140" t="inlineStr">
        <is>
          <t>VÄSTRA GÖTALANDS LÄN</t>
        </is>
      </c>
      <c r="G140" t="inlineStr">
        <is>
          <t>LIDKÖPING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46229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Kommuner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46229</v>
      </c>
      <c r="F142" t="inlineStr">
        <is>
          <t>VÄSTRA GÖTALANDS LÄN</t>
        </is>
      </c>
      <c r="G142" t="inlineStr">
        <is>
          <t>LIDKÖPING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46229</v>
      </c>
      <c r="F143" t="inlineStr">
        <is>
          <t>VÄSTRA GÖTALANDS LÄN</t>
        </is>
      </c>
      <c r="G143" t="inlineStr">
        <is>
          <t>LIDKÖPING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46229</v>
      </c>
      <c r="F144" t="inlineStr">
        <is>
          <t>VÄSTRA GÖTALANDS LÄN</t>
        </is>
      </c>
      <c r="G144" t="inlineStr">
        <is>
          <t>LIDKÖPING</t>
        </is>
      </c>
      <c r="H144" t="inlineStr">
        <is>
          <t>Kyrkan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46229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62551-2021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46229</v>
      </c>
      <c r="F146" t="inlineStr">
        <is>
          <t>VÄSTRA GÖTALANDS LÄN</t>
        </is>
      </c>
      <c r="G146" t="inlineStr">
        <is>
          <t>LIDKÖPING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56542-2024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45625</v>
      </c>
      <c r="E147" s="1" t="n">
        <v>46229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46229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53814-2024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46229</v>
      </c>
      <c r="F149" t="inlineStr">
        <is>
          <t>VÄSTRA GÖTALANDS LÄN</t>
        </is>
      </c>
      <c r="G149" t="inlineStr">
        <is>
          <t>LIDKÖPING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46120</v>
      </c>
      <c r="E150" s="1" t="n">
        <v>46229</v>
      </c>
      <c r="F150" t="inlineStr">
        <is>
          <t>VÄSTRA GÖTALANDS LÄN</t>
        </is>
      </c>
      <c r="G150" t="inlineStr">
        <is>
          <t>LIDKÖPING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46229</v>
      </c>
      <c r="F151" t="inlineStr">
        <is>
          <t>VÄSTRA GÖTALANDS LÄN</t>
        </is>
      </c>
      <c r="G151" t="inlineStr">
        <is>
          <t>LIDKÖPING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46120</v>
      </c>
      <c r="E152" s="1" t="n">
        <v>46229</v>
      </c>
      <c r="F152" t="inlineStr">
        <is>
          <t>VÄSTRA GÖTALANDS LÄN</t>
        </is>
      </c>
      <c r="G152" t="inlineStr">
        <is>
          <t>LIDKÖPING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46229</v>
      </c>
      <c r="F153" t="inlineStr">
        <is>
          <t>VÄSTRA GÖTALANDS LÄN</t>
        </is>
      </c>
      <c r="G153" t="inlineStr">
        <is>
          <t>LIDKÖPING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46122</v>
      </c>
      <c r="E154" s="1" t="n">
        <v>46229</v>
      </c>
      <c r="F154" t="inlineStr">
        <is>
          <t>VÄSTRA GÖTALANDS LÄN</t>
        </is>
      </c>
      <c r="G154" t="inlineStr">
        <is>
          <t>LIDKÖPING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45366</v>
      </c>
      <c r="E155" s="1" t="n">
        <v>46229</v>
      </c>
      <c r="F155" t="inlineStr">
        <is>
          <t>VÄSTRA GÖTALANDS LÄN</t>
        </is>
      </c>
      <c r="G155" t="inlineStr">
        <is>
          <t>LIDKÖPING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46229</v>
      </c>
      <c r="F156" t="inlineStr">
        <is>
          <t>VÄSTRA GÖTALANDS LÄN</t>
        </is>
      </c>
      <c r="G156" t="inlineStr">
        <is>
          <t>LIDKÖPING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45608-2022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46229</v>
      </c>
      <c r="F157" t="inlineStr">
        <is>
          <t>VÄSTRA GÖTALANDS LÄN</t>
        </is>
      </c>
      <c r="G157" t="inlineStr">
        <is>
          <t>LIDKÖPING</t>
        </is>
      </c>
      <c r="I157" t="n">
        <v>17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46129</v>
      </c>
      <c r="E158" s="1" t="n">
        <v>46229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46229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46229</v>
      </c>
      <c r="F160" t="inlineStr">
        <is>
          <t>VÄSTRA GÖTALANDS LÄN</t>
        </is>
      </c>
      <c r="G160" t="inlineStr">
        <is>
          <t>LIDKÖPING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46229</v>
      </c>
      <c r="F161" t="inlineStr">
        <is>
          <t>VÄSTRA GÖTALANDS LÄN</t>
        </is>
      </c>
      <c r="G161" t="inlineStr">
        <is>
          <t>LIDKÖPING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46229</v>
      </c>
      <c r="F162" t="inlineStr">
        <is>
          <t>VÄSTRA GÖTALANDS LÄN</t>
        </is>
      </c>
      <c r="G162" t="inlineStr">
        <is>
          <t>LIDKÖPING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46229</v>
      </c>
      <c r="F163" t="inlineStr">
        <is>
          <t>VÄSTRA GÖTALANDS LÄN</t>
        </is>
      </c>
      <c r="G163" t="inlineStr">
        <is>
          <t>LIDKÖPING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46229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46229</v>
      </c>
      <c r="F165" t="inlineStr">
        <is>
          <t>VÄSTRA GÖTALANDS LÄN</t>
        </is>
      </c>
      <c r="G165" t="inlineStr">
        <is>
          <t>LIDKÖPING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46229</v>
      </c>
      <c r="F166" t="inlineStr">
        <is>
          <t>VÄSTRA GÖTALANDS LÄN</t>
        </is>
      </c>
      <c r="G166" t="inlineStr">
        <is>
          <t>LIDKÖPING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46229</v>
      </c>
      <c r="F167" t="inlineStr">
        <is>
          <t>VÄSTRA GÖTALANDS LÄN</t>
        </is>
      </c>
      <c r="G167" t="inlineStr">
        <is>
          <t>LIDKÖPING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46229</v>
      </c>
      <c r="F168" t="inlineStr">
        <is>
          <t>VÄSTRA GÖTALANDS LÄN</t>
        </is>
      </c>
      <c r="G168" t="inlineStr">
        <is>
          <t>LIDKÖPING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46229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45625</v>
      </c>
      <c r="E170" s="1" t="n">
        <v>46229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46229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46229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45127</v>
      </c>
      <c r="E173" s="1" t="n">
        <v>46229</v>
      </c>
      <c r="F173" t="inlineStr">
        <is>
          <t>VÄSTRA GÖTALANDS LÄN</t>
        </is>
      </c>
      <c r="G173" t="inlineStr">
        <is>
          <t>LIDKÖPING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46229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46229</v>
      </c>
      <c r="F175" t="inlineStr">
        <is>
          <t>VÄSTRA GÖTALANDS LÄN</t>
        </is>
      </c>
      <c r="G175" t="inlineStr">
        <is>
          <t>LIDKÖPING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45006</v>
      </c>
      <c r="E176" s="1" t="n">
        <v>46229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45527</v>
      </c>
      <c r="E177" s="1" t="n">
        <v>46229</v>
      </c>
      <c r="F177" t="inlineStr">
        <is>
          <t>VÄSTRA GÖTALANDS LÄN</t>
        </is>
      </c>
      <c r="G177" t="inlineStr">
        <is>
          <t>LIDKÖPING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46229</v>
      </c>
      <c r="F178" t="inlineStr">
        <is>
          <t>VÄSTRA GÖTALANDS LÄN</t>
        </is>
      </c>
      <c r="G178" t="inlineStr">
        <is>
          <t>LIDKÖPING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46229</v>
      </c>
      <c r="F179" t="inlineStr">
        <is>
          <t>VÄSTRA GÖTALANDS LÄN</t>
        </is>
      </c>
      <c r="G179" t="inlineStr">
        <is>
          <t>LIDKÖPING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46229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46229</v>
      </c>
      <c r="F181" t="inlineStr">
        <is>
          <t>VÄSTRA GÖTALANDS LÄN</t>
        </is>
      </c>
      <c r="G181" t="inlineStr">
        <is>
          <t>LIDKÖPING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45568</v>
      </c>
      <c r="E182" s="1" t="n">
        <v>46229</v>
      </c>
      <c r="F182" t="inlineStr">
        <is>
          <t>VÄSTRA GÖTALANDS LÄN</t>
        </is>
      </c>
      <c r="G182" t="inlineStr">
        <is>
          <t>LIDKÖPING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46229</v>
      </c>
      <c r="F183" t="inlineStr">
        <is>
          <t>VÄSTRA GÖTALANDS LÄN</t>
        </is>
      </c>
      <c r="G183" t="inlineStr">
        <is>
          <t>LIDKÖPING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45649</v>
      </c>
      <c r="E184" s="1" t="n">
        <v>46229</v>
      </c>
      <c r="F184" t="inlineStr">
        <is>
          <t>VÄSTRA GÖTALANDS LÄN</t>
        </is>
      </c>
      <c r="G184" t="inlineStr">
        <is>
          <t>LIDKÖPING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45363</v>
      </c>
      <c r="E185" s="1" t="n">
        <v>46229</v>
      </c>
      <c r="F185" t="inlineStr">
        <is>
          <t>VÄSTRA GÖTALANDS LÄN</t>
        </is>
      </c>
      <c r="G185" t="inlineStr">
        <is>
          <t>LIDKÖPING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46229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46229</v>
      </c>
      <c r="F187" t="inlineStr">
        <is>
          <t>VÄSTRA GÖTALANDS LÄN</t>
        </is>
      </c>
      <c r="G187" t="inlineStr">
        <is>
          <t>LIDKÖPING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46229</v>
      </c>
      <c r="F188" t="inlineStr">
        <is>
          <t>VÄSTRA GÖTALANDS LÄN</t>
        </is>
      </c>
      <c r="G188" t="inlineStr">
        <is>
          <t>LIDKÖPING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46229</v>
      </c>
      <c r="F189" t="inlineStr">
        <is>
          <t>VÄSTRA GÖTALANDS LÄN</t>
        </is>
      </c>
      <c r="G189" t="inlineStr">
        <is>
          <t>LIDKÖPING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53275-2023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45229</v>
      </c>
      <c r="E190" s="1" t="n">
        <v>46229</v>
      </c>
      <c r="F190" t="inlineStr">
        <is>
          <t>VÄSTRA GÖTALANDS LÄN</t>
        </is>
      </c>
      <c r="G190" t="inlineStr">
        <is>
          <t>LIDKÖPING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46229</v>
      </c>
      <c r="F191" t="inlineStr">
        <is>
          <t>VÄSTRA GÖTALANDS LÄN</t>
        </is>
      </c>
      <c r="G191" t="inlineStr">
        <is>
          <t>LIDKÖPING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45727</v>
      </c>
      <c r="E192" s="1" t="n">
        <v>46229</v>
      </c>
      <c r="F192" t="inlineStr">
        <is>
          <t>VÄSTRA GÖTALANDS LÄN</t>
        </is>
      </c>
      <c r="G192" t="inlineStr">
        <is>
          <t>LIDKÖPING</t>
        </is>
      </c>
      <c r="H192" t="inlineStr">
        <is>
          <t>Kommuner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19840-2025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45771</v>
      </c>
      <c r="E193" s="1" t="n">
        <v>46229</v>
      </c>
      <c r="F193" t="inlineStr">
        <is>
          <t>VÄSTRA GÖTALANDS LÄN</t>
        </is>
      </c>
      <c r="G193" t="inlineStr">
        <is>
          <t>LIDKÖPING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58420-2023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45250</v>
      </c>
      <c r="E194" s="1" t="n">
        <v>46229</v>
      </c>
      <c r="F194" t="inlineStr">
        <is>
          <t>VÄSTRA GÖTALANDS LÄN</t>
        </is>
      </c>
      <c r="G194" t="inlineStr">
        <is>
          <t>LIDKÖPING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46229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46229</v>
      </c>
      <c r="F196" t="inlineStr">
        <is>
          <t>VÄSTRA GÖTALANDS LÄN</t>
        </is>
      </c>
      <c r="G196" t="inlineStr">
        <is>
          <t>LIDKÖPING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46229</v>
      </c>
      <c r="F197" t="inlineStr">
        <is>
          <t>VÄSTRA GÖTALANDS LÄN</t>
        </is>
      </c>
      <c r="G197" t="inlineStr">
        <is>
          <t>LIDKÖPING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46229</v>
      </c>
      <c r="F198" t="inlineStr">
        <is>
          <t>VÄSTRA GÖTALANDS LÄN</t>
        </is>
      </c>
      <c r="G198" t="inlineStr">
        <is>
          <t>LIDKÖPING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46229</v>
      </c>
      <c r="F199" t="inlineStr">
        <is>
          <t>VÄSTRA GÖTALANDS LÄN</t>
        </is>
      </c>
      <c r="G199" t="inlineStr">
        <is>
          <t>LIDKÖPING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45837</v>
      </c>
      <c r="E200" s="1" t="n">
        <v>46229</v>
      </c>
      <c r="F200" t="inlineStr">
        <is>
          <t>VÄSTRA GÖTALANDS LÄN</t>
        </is>
      </c>
      <c r="G200" t="inlineStr">
        <is>
          <t>LIDKÖPING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59069-2023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45252</v>
      </c>
      <c r="E201" s="1" t="n">
        <v>46229</v>
      </c>
      <c r="F201" t="inlineStr">
        <is>
          <t>VÄSTRA GÖTALANDS LÄN</t>
        </is>
      </c>
      <c r="G201" t="inlineStr">
        <is>
          <t>LIDKÖPING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46229</v>
      </c>
      <c r="F202" t="inlineStr">
        <is>
          <t>VÄSTRA GÖTALANDS LÄN</t>
        </is>
      </c>
      <c r="G202" t="inlineStr">
        <is>
          <t>LIDKÖPING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46229</v>
      </c>
      <c r="F203" t="inlineStr">
        <is>
          <t>VÄSTRA GÖTALANDS LÄN</t>
        </is>
      </c>
      <c r="G203" t="inlineStr">
        <is>
          <t>LIDKÖPING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3762-2024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45558</v>
      </c>
      <c r="E204" s="1" t="n">
        <v>46229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46229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46229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46229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46229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2026-07-26T01:50:47Z</dcterms:created>
  <dcterms:modified xmlns:dcterms="http://purl.org/dc/terms/" xmlns:xsi="http://www.w3.org/2001/XMLSchema-instance" xsi:type="dcterms:W3CDTF">2026-07-26T01:50:48Z</dcterms:modified>
</cp:coreProperties>
</file>