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46262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46262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46262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46262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46262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46262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47321-2023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46262</v>
      </c>
      <c r="F8" t="inlineStr">
        <is>
          <t>VÄSTRA GÖTALANDS LÄN</t>
        </is>
      </c>
      <c r="G8" t="inlineStr">
        <is>
          <t>LIDKÖPING</t>
        </is>
      </c>
      <c r="I8" t="n">
        <v>7.3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Spillkråka
Kråka
Kungsfågel</t>
        </is>
      </c>
      <c r="W8">
        <f>HYPERLINK("https://klasma.github.io/Logging_1494/artfynd/A 47321-2023 artfynd.xlsx", "A 47321-2023")</f>
        <v/>
      </c>
      <c r="X8">
        <f>HYPERLINK("https://klasma.github.io/Logging_1494/kartor/A 47321-2023 karta.png", "A 47321-2023")</f>
        <v/>
      </c>
      <c r="Y8">
        <f>HYPERLINK("https://klasma.github.io/Logging_1494/kartor_geotiff/A 47321-2023 georefererad karta.tif", "A 47321-2023")</f>
        <v/>
      </c>
      <c r="AA8">
        <f>HYPERLINK("https://klasma.github.io/Logging_1494/klagomål/A 47321-2023 FSC-klagomål.docx", "A 47321-2023")</f>
        <v/>
      </c>
      <c r="AB8">
        <f>HYPERLINK("https://klasma.github.io/Logging_1494/klagomålsmail/A 47321-2023 FSC-klagomål mail.docx", "A 47321-2023")</f>
        <v/>
      </c>
      <c r="AC8">
        <f>HYPERLINK("https://klasma.github.io/Logging_1494/tillsyn/A 47321-2023 tillsynsbegäran.docx", "A 47321-2023")</f>
        <v/>
      </c>
      <c r="AD8">
        <f>HYPERLINK("https://klasma.github.io/Logging_1494/tillsynsmail/A 47321-2023 tillsynsbegäran mail.docx", "A 47321-2023")</f>
        <v/>
      </c>
      <c r="AE8">
        <f>HYPERLINK("https://klasma.github.io/Logging_1494/fåglar/A 47321-2023 prioriterade fågelarter.docx", "A 47321-2023")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46262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46262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46262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46262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46262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24352-2025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45797</v>
      </c>
      <c r="E14" s="1" t="n">
        <v>46262</v>
      </c>
      <c r="F14" t="inlineStr">
        <is>
          <t>VÄSTRA GÖTALANDS LÄN</t>
        </is>
      </c>
      <c r="G14" t="inlineStr">
        <is>
          <t>LIDKÖPING</t>
        </is>
      </c>
      <c r="I14" t="n">
        <v>1.1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HYPERLINK("https://klasma.github.io/Logging_1494/artfynd/A 24352-2025 artfynd.xlsx", "A 24352-2025")</f>
        <v/>
      </c>
      <c r="X14">
        <f>HYPERLINK("https://klasma.github.io/Logging_1494/kartor/A 24352-2025 karta.png", "A 24352-2025")</f>
        <v/>
      </c>
      <c r="Y14">
        <f>HYPERLINK("https://klasma.github.io/Logging_1494/kartor_geotiff/A 24352-2025 georefererad karta.tif", "A 24352-2025")</f>
        <v/>
      </c>
      <c r="AA14">
        <f>HYPERLINK("https://klasma.github.io/Logging_1494/klagomål/A 24352-2025 FSC-klagomål.docx", "A 24352-2025")</f>
        <v/>
      </c>
      <c r="AB14">
        <f>HYPERLINK("https://klasma.github.io/Logging_1494/klagomålsmail/A 24352-2025 FSC-klagomål mail.docx", "A 24352-2025")</f>
        <v/>
      </c>
      <c r="AC14">
        <f>HYPERLINK("https://klasma.github.io/Logging_1494/tillsyn/A 24352-2025 tillsynsbegäran.docx", "A 24352-2025")</f>
        <v/>
      </c>
      <c r="AD14">
        <f>HYPERLINK("https://klasma.github.io/Logging_1494/tillsynsmail/A 24352-2025 tillsynsbegäran mail.docx", "A 24352-2025")</f>
        <v/>
      </c>
      <c r="AE14">
        <f>HYPERLINK("https://klasma.github.io/Logging_1494/fåglar/A 24352-2025 prioriterade fågelarter.docx", "A 24352-2025")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46262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46262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44680-2023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46262</v>
      </c>
      <c r="F17" t="inlineStr">
        <is>
          <t>VÄSTRA GÖTALANDS LÄN</t>
        </is>
      </c>
      <c r="G17" t="inlineStr">
        <is>
          <t>LIDKÖPING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Trädlärka</t>
        </is>
      </c>
      <c r="W17">
        <f>HYPERLINK("https://klasma.github.io/Logging_1494/artfynd/A 44680-2023 artfynd.xlsx", "A 44680-2023")</f>
        <v/>
      </c>
      <c r="X17">
        <f>HYPERLINK("https://klasma.github.io/Logging_1494/kartor/A 44680-2023 karta.png", "A 44680-2023")</f>
        <v/>
      </c>
      <c r="Y17">
        <f>HYPERLINK("https://klasma.github.io/Logging_1494/kartor_geotiff/A 44680-2023 georefererad karta.tif", "A 44680-2023")</f>
        <v/>
      </c>
      <c r="AA17">
        <f>HYPERLINK("https://klasma.github.io/Logging_1494/klagomål/A 44680-2023 FSC-klagomål.docx", "A 44680-2023")</f>
        <v/>
      </c>
      <c r="AB17">
        <f>HYPERLINK("https://klasma.github.io/Logging_1494/klagomålsmail/A 44680-2023 FSC-klagomål mail.docx", "A 44680-2023")</f>
        <v/>
      </c>
      <c r="AC17">
        <f>HYPERLINK("https://klasma.github.io/Logging_1494/tillsyn/A 44680-2023 tillsynsbegäran.docx", "A 44680-2023")</f>
        <v/>
      </c>
      <c r="AD17">
        <f>HYPERLINK("https://klasma.github.io/Logging_1494/tillsynsmail/A 44680-2023 tillsynsbegäran mail.docx", "A 44680-2023")</f>
        <v/>
      </c>
      <c r="AE17">
        <f>HYPERLINK("https://klasma.github.io/Logging_1494/fåglar/A 44680-2023 prioriterade fågelarter.docx", "A 44680-2023")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46262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46262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46262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46262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46262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46262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46262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46262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46262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46262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46262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46262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46262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46262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46262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46262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46262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46262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46262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46262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46262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46262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46262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46262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46262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46262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46262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46262</v>
      </c>
      <c r="F45" t="inlineStr">
        <is>
          <t>VÄSTRA GÖTALANDS LÄN</t>
        </is>
      </c>
      <c r="G45" t="inlineStr">
        <is>
          <t>LIDKÖPING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46262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61817-2024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46262</v>
      </c>
      <c r="F47" t="inlineStr">
        <is>
          <t>VÄSTRA GÖTALANDS LÄN</t>
        </is>
      </c>
      <c r="G47" t="inlineStr">
        <is>
          <t>LIDKÖPING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46262</v>
      </c>
      <c r="F48" t="inlineStr">
        <is>
          <t>VÄSTRA GÖTALANDS LÄN</t>
        </is>
      </c>
      <c r="G48" t="inlineStr">
        <is>
          <t>LIDKÖPING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46262</v>
      </c>
      <c r="F49" t="inlineStr">
        <is>
          <t>VÄSTRA GÖTALANDS LÄN</t>
        </is>
      </c>
      <c r="G49" t="inlineStr">
        <is>
          <t>LIDKÖPING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56373-2024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45625</v>
      </c>
      <c r="E50" s="1" t="n">
        <v>46262</v>
      </c>
      <c r="F50" t="inlineStr">
        <is>
          <t>VÄSTRA GÖTALANDS LÄN</t>
        </is>
      </c>
      <c r="G50" t="inlineStr">
        <is>
          <t>LIDKÖPING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46262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45615</v>
      </c>
      <c r="E52" s="1" t="n">
        <v>46262</v>
      </c>
      <c r="F52" t="inlineStr">
        <is>
          <t>VÄSTRA GÖTALANDS LÄN</t>
        </is>
      </c>
      <c r="G52" t="inlineStr">
        <is>
          <t>LIDKÖPING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46262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30399-2023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46262</v>
      </c>
      <c r="F54" t="inlineStr">
        <is>
          <t>VÄSTRA GÖTALANDS LÄN</t>
        </is>
      </c>
      <c r="G54" t="inlineStr">
        <is>
          <t>LIDKÖPING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7247-2025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46262</v>
      </c>
      <c r="F55" t="inlineStr">
        <is>
          <t>VÄSTRA GÖTALANDS LÄN</t>
        </is>
      </c>
      <c r="G55" t="inlineStr">
        <is>
          <t>LIDKÖPING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45797</v>
      </c>
      <c r="E56" s="1" t="n">
        <v>46262</v>
      </c>
      <c r="F56" t="inlineStr">
        <is>
          <t>VÄSTRA GÖTALANDS LÄN</t>
        </is>
      </c>
      <c r="G56" t="inlineStr">
        <is>
          <t>LIDKÖPING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53275-2023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45229</v>
      </c>
      <c r="E57" s="1" t="n">
        <v>46262</v>
      </c>
      <c r="F57" t="inlineStr">
        <is>
          <t>VÄSTRA GÖTALANDS LÄN</t>
        </is>
      </c>
      <c r="G57" t="inlineStr">
        <is>
          <t>LIDKÖPING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44104-2024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45572</v>
      </c>
      <c r="E58" s="1" t="n">
        <v>46262</v>
      </c>
      <c r="F58" t="inlineStr">
        <is>
          <t>VÄSTRA GÖTALANDS LÄN</t>
        </is>
      </c>
      <c r="G58" t="inlineStr">
        <is>
          <t>LIDKÖPING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11563-2025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45727</v>
      </c>
      <c r="E59" s="1" t="n">
        <v>46262</v>
      </c>
      <c r="F59" t="inlineStr">
        <is>
          <t>VÄSTRA GÖTALANDS LÄN</t>
        </is>
      </c>
      <c r="G59" t="inlineStr">
        <is>
          <t>LIDKÖPING</t>
        </is>
      </c>
      <c r="H59" t="inlineStr">
        <is>
          <t>Kommuner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19840-2025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45771</v>
      </c>
      <c r="E60" s="1" t="n">
        <v>46262</v>
      </c>
      <c r="F60" t="inlineStr">
        <is>
          <t>VÄSTRA GÖTALANDS LÄN</t>
        </is>
      </c>
      <c r="G60" t="inlineStr">
        <is>
          <t>LIDKÖPING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52719-2025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46262</v>
      </c>
      <c r="F61" t="inlineStr">
        <is>
          <t>VÄSTRA GÖTALANDS LÄN</t>
        </is>
      </c>
      <c r="G61" t="inlineStr">
        <is>
          <t>LIDKÖPING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58420-2023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45250</v>
      </c>
      <c r="E62" s="1" t="n">
        <v>46262</v>
      </c>
      <c r="F62" t="inlineStr">
        <is>
          <t>VÄSTRA GÖTALANDS LÄN</t>
        </is>
      </c>
      <c r="G62" t="inlineStr">
        <is>
          <t>LIDKÖPING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45954</v>
      </c>
      <c r="E63" s="1" t="n">
        <v>46262</v>
      </c>
      <c r="F63" t="inlineStr">
        <is>
          <t>VÄSTRA GÖTALANDS LÄN</t>
        </is>
      </c>
      <c r="G63" t="inlineStr">
        <is>
          <t>LIDKÖPING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45958</v>
      </c>
      <c r="E64" s="1" t="n">
        <v>46262</v>
      </c>
      <c r="F64" t="inlineStr">
        <is>
          <t>VÄSTRA GÖTALANDS LÄN</t>
        </is>
      </c>
      <c r="G64" t="inlineStr">
        <is>
          <t>LIDKÖPING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45958</v>
      </c>
      <c r="E65" s="1" t="n">
        <v>46262</v>
      </c>
      <c r="F65" t="inlineStr">
        <is>
          <t>VÄSTRA GÖTALANDS LÄN</t>
        </is>
      </c>
      <c r="G65" t="inlineStr">
        <is>
          <t>LIDKÖPING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46262</v>
      </c>
      <c r="F66" t="inlineStr">
        <is>
          <t>VÄSTRA GÖTALANDS LÄN</t>
        </is>
      </c>
      <c r="G66" t="inlineStr">
        <is>
          <t>LIDKÖPING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45964</v>
      </c>
      <c r="E67" s="1" t="n">
        <v>46262</v>
      </c>
      <c r="F67" t="inlineStr">
        <is>
          <t>VÄSTRA GÖTALANDS LÄN</t>
        </is>
      </c>
      <c r="G67" t="inlineStr">
        <is>
          <t>LIDKÖPING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45375</v>
      </c>
      <c r="E68" s="1" t="n">
        <v>46262</v>
      </c>
      <c r="F68" t="inlineStr">
        <is>
          <t>VÄSTRA GÖTALANDS LÄN</t>
        </is>
      </c>
      <c r="G68" t="inlineStr">
        <is>
          <t>LIDKÖPING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45758</v>
      </c>
      <c r="E69" s="1" t="n">
        <v>46262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45824</v>
      </c>
      <c r="E70" s="1" t="n">
        <v>46262</v>
      </c>
      <c r="F70" t="inlineStr">
        <is>
          <t>VÄSTRA GÖTALANDS LÄN</t>
        </is>
      </c>
      <c r="G70" t="inlineStr">
        <is>
          <t>LIDKÖPING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46262</v>
      </c>
      <c r="F71" t="inlineStr">
        <is>
          <t>VÄSTRA GÖTALANDS LÄN</t>
        </is>
      </c>
      <c r="G71" t="inlineStr">
        <is>
          <t>LIDKÖPING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46262</v>
      </c>
      <c r="F72" t="inlineStr">
        <is>
          <t>VÄSTRA GÖTALANDS LÄN</t>
        </is>
      </c>
      <c r="G72" t="inlineStr">
        <is>
          <t>LIDKÖPING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45623</v>
      </c>
      <c r="E73" s="1" t="n">
        <v>46262</v>
      </c>
      <c r="F73" t="inlineStr">
        <is>
          <t>VÄSTRA GÖTALANDS LÄN</t>
        </is>
      </c>
      <c r="G73" t="inlineStr">
        <is>
          <t>LIDKÖPING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45590</v>
      </c>
      <c r="E74" s="1" t="n">
        <v>46262</v>
      </c>
      <c r="F74" t="inlineStr">
        <is>
          <t>VÄSTRA GÖTALANDS LÄN</t>
        </is>
      </c>
      <c r="G74" t="inlineStr">
        <is>
          <t>LIDKÖPING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45837</v>
      </c>
      <c r="E75" s="1" t="n">
        <v>46262</v>
      </c>
      <c r="F75" t="inlineStr">
        <is>
          <t>VÄSTRA GÖTALANDS LÄN</t>
        </is>
      </c>
      <c r="G75" t="inlineStr">
        <is>
          <t>LIDKÖPING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39800-2022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46262</v>
      </c>
      <c r="F76" t="inlineStr">
        <is>
          <t>VÄSTRA GÖTALANDS LÄN</t>
        </is>
      </c>
      <c r="G76" t="inlineStr">
        <is>
          <t>LIDKÖPING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59069-2023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45252</v>
      </c>
      <c r="E77" s="1" t="n">
        <v>46262</v>
      </c>
      <c r="F77" t="inlineStr">
        <is>
          <t>VÄSTRA GÖTALANDS LÄN</t>
        </is>
      </c>
      <c r="G77" t="inlineStr">
        <is>
          <t>LIDKÖPING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26356-2025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46262</v>
      </c>
      <c r="F78" t="inlineStr">
        <is>
          <t>VÄSTRA GÖTALANDS LÄN</t>
        </is>
      </c>
      <c r="G78" t="inlineStr">
        <is>
          <t>LIDKÖPING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46262</v>
      </c>
      <c r="F79" t="inlineStr">
        <is>
          <t>VÄSTRA GÖTALANDS LÄN</t>
        </is>
      </c>
      <c r="G79" t="inlineStr">
        <is>
          <t>LIDKÖPING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63778-2023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45278</v>
      </c>
      <c r="E80" s="1" t="n">
        <v>46262</v>
      </c>
      <c r="F80" t="inlineStr">
        <is>
          <t>VÄSTRA GÖTALANDS LÄN</t>
        </is>
      </c>
      <c r="G80" t="inlineStr">
        <is>
          <t>LIDKÖPING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53279-2023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45229</v>
      </c>
      <c r="E81" s="1" t="n">
        <v>46262</v>
      </c>
      <c r="F81" t="inlineStr">
        <is>
          <t>VÄSTRA GÖTALANDS LÄN</t>
        </is>
      </c>
      <c r="G81" t="inlineStr">
        <is>
          <t>LIDKÖPING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46262</v>
      </c>
      <c r="F82" t="inlineStr">
        <is>
          <t>VÄSTRA GÖTALANDS LÄN</t>
        </is>
      </c>
      <c r="G82" t="inlineStr">
        <is>
          <t>LIDKÖPING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46262</v>
      </c>
      <c r="F83" t="inlineStr">
        <is>
          <t>VÄSTRA GÖTALANDS LÄN</t>
        </is>
      </c>
      <c r="G83" t="inlineStr">
        <is>
          <t>LIDKÖPING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44642</v>
      </c>
      <c r="E84" s="1" t="n">
        <v>46262</v>
      </c>
      <c r="F84" t="inlineStr">
        <is>
          <t>VÄSTRA GÖTALANDS LÄN</t>
        </is>
      </c>
      <c r="G84" t="inlineStr">
        <is>
          <t>LIDKÖPING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45670</v>
      </c>
      <c r="E85" s="1" t="n">
        <v>46262</v>
      </c>
      <c r="F85" t="inlineStr">
        <is>
          <t>VÄSTRA GÖTALANDS LÄN</t>
        </is>
      </c>
      <c r="G85" t="inlineStr">
        <is>
          <t>LIDKÖPING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44806</v>
      </c>
      <c r="E86" s="1" t="n">
        <v>46262</v>
      </c>
      <c r="F86" t="inlineStr">
        <is>
          <t>VÄSTRA GÖTALANDS LÄN</t>
        </is>
      </c>
      <c r="G86" t="inlineStr">
        <is>
          <t>LIDKÖPING</t>
        </is>
      </c>
      <c r="I86" t="n">
        <v>17.4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45867</v>
      </c>
      <c r="E87" s="1" t="n">
        <v>46262</v>
      </c>
      <c r="F87" t="inlineStr">
        <is>
          <t>VÄSTRA GÖTALANDS LÄN</t>
        </is>
      </c>
      <c r="G87" t="inlineStr">
        <is>
          <t>LIDKÖPING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45702</v>
      </c>
      <c r="E88" s="1" t="n">
        <v>46262</v>
      </c>
      <c r="F88" t="inlineStr">
        <is>
          <t>VÄSTRA GÖTALANDS LÄN</t>
        </is>
      </c>
      <c r="G88" t="inlineStr">
        <is>
          <t>LIDKÖPING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46262</v>
      </c>
      <c r="F89" t="inlineStr">
        <is>
          <t>VÄSTRA GÖTALANDS LÄN</t>
        </is>
      </c>
      <c r="G89" t="inlineStr">
        <is>
          <t>LIDKÖPING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37195-2025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45875</v>
      </c>
      <c r="E90" s="1" t="n">
        <v>46262</v>
      </c>
      <c r="F90" t="inlineStr">
        <is>
          <t>VÄSTRA GÖTALANDS LÄN</t>
        </is>
      </c>
      <c r="G90" t="inlineStr">
        <is>
          <t>LIDKÖPING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46262</v>
      </c>
      <c r="F91" t="inlineStr">
        <is>
          <t>VÄSTRA GÖTALANDS LÄN</t>
        </is>
      </c>
      <c r="G91" t="inlineStr">
        <is>
          <t>LIDKÖPING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59068-2023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45252</v>
      </c>
      <c r="E92" s="1" t="n">
        <v>46262</v>
      </c>
      <c r="F92" t="inlineStr">
        <is>
          <t>VÄSTRA GÖTALANDS LÄN</t>
        </is>
      </c>
      <c r="G92" t="inlineStr">
        <is>
          <t>LIDKÖPING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45702</v>
      </c>
      <c r="E93" s="1" t="n">
        <v>46262</v>
      </c>
      <c r="F93" t="inlineStr">
        <is>
          <t>VÄSTRA GÖTALANDS LÄN</t>
        </is>
      </c>
      <c r="G93" t="inlineStr">
        <is>
          <t>LIDKÖPING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45988</v>
      </c>
      <c r="E94" s="1" t="n">
        <v>46262</v>
      </c>
      <c r="F94" t="inlineStr">
        <is>
          <t>VÄSTRA GÖTALANDS LÄN</t>
        </is>
      </c>
      <c r="G94" t="inlineStr">
        <is>
          <t>LIDKÖPING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45601</v>
      </c>
      <c r="E95" s="1" t="n">
        <v>46262</v>
      </c>
      <c r="F95" t="inlineStr">
        <is>
          <t>VÄSTRA GÖTALANDS LÄN</t>
        </is>
      </c>
      <c r="G95" t="inlineStr">
        <is>
          <t>LIDKÖPING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45090</v>
      </c>
      <c r="E96" s="1" t="n">
        <v>46262</v>
      </c>
      <c r="F96" t="inlineStr">
        <is>
          <t>VÄSTRA GÖTALANDS LÄN</t>
        </is>
      </c>
      <c r="G96" t="inlineStr">
        <is>
          <t>LIDKÖPING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45125</v>
      </c>
      <c r="E97" s="1" t="n">
        <v>46262</v>
      </c>
      <c r="F97" t="inlineStr">
        <is>
          <t>VÄSTRA GÖTALANDS LÄN</t>
        </is>
      </c>
      <c r="G97" t="inlineStr">
        <is>
          <t>LIDKÖPING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45184</v>
      </c>
      <c r="E98" s="1" t="n">
        <v>46262</v>
      </c>
      <c r="F98" t="inlineStr">
        <is>
          <t>VÄSTRA GÖTALANDS LÄN</t>
        </is>
      </c>
      <c r="G98" t="inlineStr">
        <is>
          <t>LIDKÖPING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46262</v>
      </c>
      <c r="F99" t="inlineStr">
        <is>
          <t>VÄSTRA GÖTALANDS LÄN</t>
        </is>
      </c>
      <c r="G99" t="inlineStr">
        <is>
          <t>LIDKÖPING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45264</v>
      </c>
      <c r="E100" s="1" t="n">
        <v>46262</v>
      </c>
      <c r="F100" t="inlineStr">
        <is>
          <t>VÄSTRA GÖTALANDS LÄN</t>
        </is>
      </c>
      <c r="G100" t="inlineStr">
        <is>
          <t>LIDKÖPING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46262</v>
      </c>
      <c r="F101" t="inlineStr">
        <is>
          <t>VÄSTRA GÖTALANDS LÄN</t>
        </is>
      </c>
      <c r="G101" t="inlineStr">
        <is>
          <t>LIDKÖPING</t>
        </is>
      </c>
      <c r="H101" t="inlineStr">
        <is>
          <t>Kyrkan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44767</v>
      </c>
      <c r="E102" s="1" t="n">
        <v>46262</v>
      </c>
      <c r="F102" t="inlineStr">
        <is>
          <t>VÄSTRA GÖTALANDS LÄN</t>
        </is>
      </c>
      <c r="G102" t="inlineStr">
        <is>
          <t>LIDKÖPING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46262</v>
      </c>
      <c r="F103" t="inlineStr">
        <is>
          <t>VÄSTRA GÖTALANDS LÄN</t>
        </is>
      </c>
      <c r="G103" t="inlineStr">
        <is>
          <t>LIDKÖPING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46061</v>
      </c>
      <c r="E104" s="1" t="n">
        <v>46262</v>
      </c>
      <c r="F104" t="inlineStr">
        <is>
          <t>VÄSTRA GÖTALANDS LÄN</t>
        </is>
      </c>
      <c r="G104" t="inlineStr">
        <is>
          <t>LIDKÖPING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44979</v>
      </c>
      <c r="E105" s="1" t="n">
        <v>46262</v>
      </c>
      <c r="F105" t="inlineStr">
        <is>
          <t>VÄSTRA GÖTALANDS LÄN</t>
        </is>
      </c>
      <c r="G105" t="inlineStr">
        <is>
          <t>LIDKÖPING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46072</v>
      </c>
      <c r="E106" s="1" t="n">
        <v>46262</v>
      </c>
      <c r="F106" t="inlineStr">
        <is>
          <t>VÄSTRA GÖTALANDS LÄN</t>
        </is>
      </c>
      <c r="G106" t="inlineStr">
        <is>
          <t>LIDKÖPING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45660</v>
      </c>
      <c r="E107" s="1" t="n">
        <v>46262</v>
      </c>
      <c r="F107" t="inlineStr">
        <is>
          <t>VÄSTRA GÖTALANDS LÄN</t>
        </is>
      </c>
      <c r="G107" t="inlineStr">
        <is>
          <t>LIDKÖPING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46262</v>
      </c>
      <c r="F108" t="inlineStr">
        <is>
          <t>VÄSTRA GÖTALANDS LÄN</t>
        </is>
      </c>
      <c r="G108" t="inlineStr">
        <is>
          <t>LIDKÖPING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45672</v>
      </c>
      <c r="E109" s="1" t="n">
        <v>46262</v>
      </c>
      <c r="F109" t="inlineStr">
        <is>
          <t>VÄSTRA GÖTALANDS LÄN</t>
        </is>
      </c>
      <c r="G109" t="inlineStr">
        <is>
          <t>LIDKÖPING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62527-2021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46262</v>
      </c>
      <c r="F110" t="inlineStr">
        <is>
          <t>VÄSTRA GÖTALANDS LÄN</t>
        </is>
      </c>
      <c r="G110" t="inlineStr">
        <is>
          <t>LIDKÖPING</t>
        </is>
      </c>
      <c r="I110" t="n">
        <v>22.6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46262</v>
      </c>
      <c r="F111" t="inlineStr">
        <is>
          <t>VÄSTRA GÖTALANDS LÄN</t>
        </is>
      </c>
      <c r="G111" t="inlineStr">
        <is>
          <t>LIDKÖPING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45529</v>
      </c>
      <c r="E112" s="1" t="n">
        <v>46262</v>
      </c>
      <c r="F112" t="inlineStr">
        <is>
          <t>VÄSTRA GÖTALANDS LÄN</t>
        </is>
      </c>
      <c r="G112" t="inlineStr">
        <is>
          <t>LIDKÖPING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46100</v>
      </c>
      <c r="E113" s="1" t="n">
        <v>46262</v>
      </c>
      <c r="F113" t="inlineStr">
        <is>
          <t>VÄSTRA GÖTALANDS LÄN</t>
        </is>
      </c>
      <c r="G113" t="inlineStr">
        <is>
          <t>LIDKÖPING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45432</v>
      </c>
      <c r="E114" s="1" t="n">
        <v>46262</v>
      </c>
      <c r="F114" t="inlineStr">
        <is>
          <t>VÄSTRA GÖTALANDS LÄN</t>
        </is>
      </c>
      <c r="G114" t="inlineStr">
        <is>
          <t>LIDKÖPING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45623</v>
      </c>
      <c r="E115" s="1" t="n">
        <v>46262</v>
      </c>
      <c r="F115" t="inlineStr">
        <is>
          <t>VÄSTRA GÖTALANDS LÄN</t>
        </is>
      </c>
      <c r="G115" t="inlineStr">
        <is>
          <t>LIDKÖPING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1949-2025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46262</v>
      </c>
      <c r="F116" t="inlineStr">
        <is>
          <t>VÄSTRA GÖTALANDS LÄN</t>
        </is>
      </c>
      <c r="G116" t="inlineStr">
        <is>
          <t>LIDKÖPING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46262</v>
      </c>
      <c r="F117" t="inlineStr">
        <is>
          <t>VÄSTRA GÖTALANDS LÄN</t>
        </is>
      </c>
      <c r="G117" t="inlineStr">
        <is>
          <t>LIDKÖPING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46262</v>
      </c>
      <c r="F118" t="inlineStr">
        <is>
          <t>VÄSTRA GÖTALANDS LÄN</t>
        </is>
      </c>
      <c r="G118" t="inlineStr">
        <is>
          <t>LIDKÖPING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46262</v>
      </c>
      <c r="F119" t="inlineStr">
        <is>
          <t>VÄSTRA GÖTALANDS LÄN</t>
        </is>
      </c>
      <c r="G119" t="inlineStr">
        <is>
          <t>LIDKÖPING</t>
        </is>
      </c>
      <c r="H119" t="inlineStr">
        <is>
          <t>Kommuner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58393-2022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44901</v>
      </c>
      <c r="E120" s="1" t="n">
        <v>46262</v>
      </c>
      <c r="F120" t="inlineStr">
        <is>
          <t>VÄSTRA GÖTALANDS LÄN</t>
        </is>
      </c>
      <c r="G120" t="inlineStr">
        <is>
          <t>LIDKÖPING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46120</v>
      </c>
      <c r="E121" s="1" t="n">
        <v>46262</v>
      </c>
      <c r="F121" t="inlineStr">
        <is>
          <t>VÄSTRA GÖTALANDS LÄN</t>
        </is>
      </c>
      <c r="G121" t="inlineStr">
        <is>
          <t>LIDKÖPING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46119</v>
      </c>
      <c r="E122" s="1" t="n">
        <v>46262</v>
      </c>
      <c r="F122" t="inlineStr">
        <is>
          <t>VÄSTRA GÖTALANDS LÄN</t>
        </is>
      </c>
      <c r="G122" t="inlineStr">
        <is>
          <t>LIDKÖPING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17495-2026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46120</v>
      </c>
      <c r="E123" s="1" t="n">
        <v>46262</v>
      </c>
      <c r="F123" t="inlineStr">
        <is>
          <t>VÄSTRA GÖTALANDS LÄN</t>
        </is>
      </c>
      <c r="G123" t="inlineStr">
        <is>
          <t>LIDKÖPING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44945</v>
      </c>
      <c r="E124" s="1" t="n">
        <v>46262</v>
      </c>
      <c r="F124" t="inlineStr">
        <is>
          <t>VÄSTRA GÖTALANDS LÄN</t>
        </is>
      </c>
      <c r="G124" t="inlineStr">
        <is>
          <t>LIDKÖPING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17524-2026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46262</v>
      </c>
      <c r="F125" t="inlineStr">
        <is>
          <t>VÄSTRA GÖTALANDS LÄN</t>
        </is>
      </c>
      <c r="G125" t="inlineStr">
        <is>
          <t>LIDKÖPING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46122</v>
      </c>
      <c r="E126" s="1" t="n">
        <v>46262</v>
      </c>
      <c r="F126" t="inlineStr">
        <is>
          <t>VÄSTRA GÖTALANDS LÄN</t>
        </is>
      </c>
      <c r="G126" t="inlineStr">
        <is>
          <t>LIDKÖPING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46262</v>
      </c>
      <c r="F127" t="inlineStr">
        <is>
          <t>VÄSTRA GÖTALANDS LÄN</t>
        </is>
      </c>
      <c r="G127" t="inlineStr">
        <is>
          <t>LIDKÖPING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45233</v>
      </c>
      <c r="E128" s="1" t="n">
        <v>46262</v>
      </c>
      <c r="F128" t="inlineStr">
        <is>
          <t>VÄSTRA GÖTALANDS LÄN</t>
        </is>
      </c>
      <c r="G128" t="inlineStr">
        <is>
          <t>LIDKÖPING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46262</v>
      </c>
      <c r="F129" t="inlineStr">
        <is>
          <t>VÄSTRA GÖTALANDS LÄN</t>
        </is>
      </c>
      <c r="G129" t="inlineStr">
        <is>
          <t>LIDKÖPING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46262</v>
      </c>
      <c r="F130" t="inlineStr">
        <is>
          <t>VÄSTRA GÖTALANDS LÄN</t>
        </is>
      </c>
      <c r="G130" t="inlineStr">
        <is>
          <t>LIDKÖPING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46129</v>
      </c>
      <c r="E131" s="1" t="n">
        <v>46262</v>
      </c>
      <c r="F131" t="inlineStr">
        <is>
          <t>VÄSTRA GÖTALANDS LÄN</t>
        </is>
      </c>
      <c r="G131" t="inlineStr">
        <is>
          <t>LIDKÖPING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46262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Kommuner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55984-2024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45623</v>
      </c>
      <c r="E133" s="1" t="n">
        <v>46262</v>
      </c>
      <c r="F133" t="inlineStr">
        <is>
          <t>VÄSTRA GÖTALANDS LÄN</t>
        </is>
      </c>
      <c r="G133" t="inlineStr">
        <is>
          <t>LIDKÖPING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45527</v>
      </c>
      <c r="E134" s="1" t="n">
        <v>46262</v>
      </c>
      <c r="F134" t="inlineStr">
        <is>
          <t>VÄSTRA GÖTALANDS LÄN</t>
        </is>
      </c>
      <c r="G134" t="inlineStr">
        <is>
          <t>LIDKÖPING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45462</v>
      </c>
      <c r="E135" s="1" t="n">
        <v>46262</v>
      </c>
      <c r="F135" t="inlineStr">
        <is>
          <t>VÄSTRA GÖTALANDS LÄN</t>
        </is>
      </c>
      <c r="G135" t="inlineStr">
        <is>
          <t>LIDKÖPING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45943</v>
      </c>
      <c r="E136" s="1" t="n">
        <v>46262</v>
      </c>
      <c r="F136" t="inlineStr">
        <is>
          <t>VÄSTRA GÖTALANDS LÄN</t>
        </is>
      </c>
      <c r="G136" t="inlineStr">
        <is>
          <t>LIDKÖPING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46262</v>
      </c>
      <c r="F137" t="inlineStr">
        <is>
          <t>VÄSTRA GÖTALANDS LÄN</t>
        </is>
      </c>
      <c r="G137" t="inlineStr">
        <is>
          <t>LIDKÖPING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46262</v>
      </c>
      <c r="F138" t="inlineStr">
        <is>
          <t>VÄSTRA GÖTALANDS LÄN</t>
        </is>
      </c>
      <c r="G138" t="inlineStr">
        <is>
          <t>LIDKÖPING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46262</v>
      </c>
      <c r="F139" t="inlineStr">
        <is>
          <t>VÄSTRA GÖTALANDS LÄN</t>
        </is>
      </c>
      <c r="G139" t="inlineStr">
        <is>
          <t>LIDKÖPING</t>
        </is>
      </c>
      <c r="H139" t="inlineStr">
        <is>
          <t>Kommuner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46262</v>
      </c>
      <c r="F140" t="inlineStr">
        <is>
          <t>VÄSTRA GÖTALANDS LÄN</t>
        </is>
      </c>
      <c r="G140" t="inlineStr">
        <is>
          <t>LIDKÖPING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45903</v>
      </c>
      <c r="E141" s="1" t="n">
        <v>46262</v>
      </c>
      <c r="F141" t="inlineStr">
        <is>
          <t>VÄSTRA GÖTALANDS LÄN</t>
        </is>
      </c>
      <c r="G141" t="inlineStr">
        <is>
          <t>LIDKÖPING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53273-2023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45229</v>
      </c>
      <c r="E142" s="1" t="n">
        <v>46262</v>
      </c>
      <c r="F142" t="inlineStr">
        <is>
          <t>VÄSTRA GÖTALANDS LÄN</t>
        </is>
      </c>
      <c r="G142" t="inlineStr">
        <is>
          <t>LIDKÖPING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45084</v>
      </c>
      <c r="E143" s="1" t="n">
        <v>46262</v>
      </c>
      <c r="F143" t="inlineStr">
        <is>
          <t>VÄSTRA GÖTALANDS LÄN</t>
        </is>
      </c>
      <c r="G143" t="inlineStr">
        <is>
          <t>LIDKÖPING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46262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45797</v>
      </c>
      <c r="E145" s="1" t="n">
        <v>46262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46262</v>
      </c>
      <c r="F146" t="inlineStr">
        <is>
          <t>VÄSTRA GÖTALANDS LÄN</t>
        </is>
      </c>
      <c r="G146" t="inlineStr">
        <is>
          <t>LIDKÖPING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46144</v>
      </c>
      <c r="E147" s="1" t="n">
        <v>46262</v>
      </c>
      <c r="F147" t="inlineStr">
        <is>
          <t>VÄSTRA GÖTALANDS LÄN</t>
        </is>
      </c>
      <c r="G147" t="inlineStr">
        <is>
          <t>LIDKÖPING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46262</v>
      </c>
      <c r="F148" t="inlineStr">
        <is>
          <t>VÄSTRA GÖTALANDS LÄN</t>
        </is>
      </c>
      <c r="G148" t="inlineStr">
        <is>
          <t>LIDKÖPING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46262</v>
      </c>
      <c r="F149" t="inlineStr">
        <is>
          <t>VÄSTRA GÖTALANDS LÄN</t>
        </is>
      </c>
      <c r="G149" t="inlineStr">
        <is>
          <t>LIDKÖPING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61405-2025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46001</v>
      </c>
      <c r="E150" s="1" t="n">
        <v>46262</v>
      </c>
      <c r="F150" t="inlineStr">
        <is>
          <t>VÄSTRA GÖTALANDS LÄN</t>
        </is>
      </c>
      <c r="G150" t="inlineStr">
        <is>
          <t>LIDKÖPING</t>
        </is>
      </c>
      <c r="H150" t="inlineStr">
        <is>
          <t>Kyrkan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44964</v>
      </c>
      <c r="E151" s="1" t="n">
        <v>46262</v>
      </c>
      <c r="F151" t="inlineStr">
        <is>
          <t>VÄSTRA GÖTALANDS LÄN</t>
        </is>
      </c>
      <c r="G151" t="inlineStr">
        <is>
          <t>LIDKÖPING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46262</v>
      </c>
      <c r="F152" t="inlineStr">
        <is>
          <t>VÄSTRA GÖTALANDS LÄN</t>
        </is>
      </c>
      <c r="G152" t="inlineStr">
        <is>
          <t>LIDKÖPING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44960</v>
      </c>
      <c r="E153" s="1" t="n">
        <v>46262</v>
      </c>
      <c r="F153" t="inlineStr">
        <is>
          <t>VÄSTRA GÖTALANDS LÄN</t>
        </is>
      </c>
      <c r="G153" t="inlineStr">
        <is>
          <t>LIDKÖPING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46262</v>
      </c>
      <c r="F154" t="inlineStr">
        <is>
          <t>VÄSTRA GÖTALANDS LÄN</t>
        </is>
      </c>
      <c r="G154" t="inlineStr">
        <is>
          <t>LIDKÖPING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46262</v>
      </c>
      <c r="F155" t="inlineStr">
        <is>
          <t>VÄSTRA GÖTALANDS LÄN</t>
        </is>
      </c>
      <c r="G155" t="inlineStr">
        <is>
          <t>LIDKÖPING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45357</v>
      </c>
      <c r="E156" s="1" t="n">
        <v>46262</v>
      </c>
      <c r="F156" t="inlineStr">
        <is>
          <t>VÄSTRA GÖTALANDS LÄN</t>
        </is>
      </c>
      <c r="G156" t="inlineStr">
        <is>
          <t>LIDKÖPING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46262</v>
      </c>
      <c r="F157" t="inlineStr">
        <is>
          <t>VÄSTRA GÖTALANDS LÄN</t>
        </is>
      </c>
      <c r="G157" t="inlineStr">
        <is>
          <t>LIDKÖPING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45006</v>
      </c>
      <c r="E158" s="1" t="n">
        <v>46262</v>
      </c>
      <c r="F158" t="inlineStr">
        <is>
          <t>VÄSTRA GÖTALANDS LÄN</t>
        </is>
      </c>
      <c r="G158" t="inlineStr">
        <is>
          <t>LIDKÖPING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46262</v>
      </c>
      <c r="F159" t="inlineStr">
        <is>
          <t>VÄSTRA GÖTALANDS LÄN</t>
        </is>
      </c>
      <c r="G159" t="inlineStr">
        <is>
          <t>LIDKÖPING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56419-2024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45623</v>
      </c>
      <c r="E160" s="1" t="n">
        <v>46262</v>
      </c>
      <c r="F160" t="inlineStr">
        <is>
          <t>VÄSTRA GÖTALANDS LÄN</t>
        </is>
      </c>
      <c r="G160" t="inlineStr">
        <is>
          <t>LIDKÖPING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45355</v>
      </c>
      <c r="E161" s="1" t="n">
        <v>46262</v>
      </c>
      <c r="F161" t="inlineStr">
        <is>
          <t>VÄSTRA GÖTALANDS LÄN</t>
        </is>
      </c>
      <c r="G161" t="inlineStr">
        <is>
          <t>LIDKÖPING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45642</v>
      </c>
      <c r="E162" s="1" t="n">
        <v>46262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45506</v>
      </c>
      <c r="E163" s="1" t="n">
        <v>46262</v>
      </c>
      <c r="F163" t="inlineStr">
        <is>
          <t>VÄSTRA GÖTALANDS LÄN</t>
        </is>
      </c>
      <c r="G163" t="inlineStr">
        <is>
          <t>LIDKÖPING</t>
        </is>
      </c>
      <c r="H163" t="inlineStr">
        <is>
          <t>Kommuner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46262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46169</v>
      </c>
      <c r="E165" s="1" t="n">
        <v>46262</v>
      </c>
      <c r="F165" t="inlineStr">
        <is>
          <t>VÄSTRA GÖTALANDS LÄN</t>
        </is>
      </c>
      <c r="G165" t="inlineStr">
        <is>
          <t>LIDKÖPING</t>
        </is>
      </c>
      <c r="I165" t="n">
        <v>11.7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62551-2021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46262</v>
      </c>
      <c r="F166" t="inlineStr">
        <is>
          <t>VÄSTRA GÖTALANDS LÄN</t>
        </is>
      </c>
      <c r="G166" t="inlineStr">
        <is>
          <t>LIDKÖPING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56542-2024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45625</v>
      </c>
      <c r="E167" s="1" t="n">
        <v>46262</v>
      </c>
      <c r="F167" t="inlineStr">
        <is>
          <t>VÄSTRA GÖTALANDS LÄN</t>
        </is>
      </c>
      <c r="G167" t="inlineStr">
        <is>
          <t>LIDKÖPING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46262</v>
      </c>
      <c r="F168" t="inlineStr">
        <is>
          <t>VÄSTRA GÖTALANDS LÄN</t>
        </is>
      </c>
      <c r="G168" t="inlineStr">
        <is>
          <t>LIDKÖPING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46262</v>
      </c>
      <c r="F169" t="inlineStr">
        <is>
          <t>VÄSTRA GÖTALANDS LÄN</t>
        </is>
      </c>
      <c r="G169" t="inlineStr">
        <is>
          <t>LIDKÖPING</t>
        </is>
      </c>
      <c r="H169" t="inlineStr">
        <is>
          <t>Kyrkan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33654-2022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44789</v>
      </c>
      <c r="E170" s="1" t="n">
        <v>46262</v>
      </c>
      <c r="F170" t="inlineStr">
        <is>
          <t>VÄSTRA GÖTALANDS LÄN</t>
        </is>
      </c>
      <c r="G170" t="inlineStr">
        <is>
          <t>LIDKÖPING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45366</v>
      </c>
      <c r="E171" s="1" t="n">
        <v>46262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45359</v>
      </c>
      <c r="E172" s="1" t="n">
        <v>46262</v>
      </c>
      <c r="F172" t="inlineStr">
        <is>
          <t>VÄSTRA GÖTALANDS LÄN</t>
        </is>
      </c>
      <c r="G172" t="inlineStr">
        <is>
          <t>LIDKÖPING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45608-2022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44845</v>
      </c>
      <c r="E173" s="1" t="n">
        <v>46262</v>
      </c>
      <c r="F173" t="inlineStr">
        <is>
          <t>VÄSTRA GÖTALANDS LÄN</t>
        </is>
      </c>
      <c r="G173" t="inlineStr">
        <is>
          <t>LIDKÖPING</t>
        </is>
      </c>
      <c r="I173" t="n">
        <v>17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46262</v>
      </c>
      <c r="F174" t="inlineStr">
        <is>
          <t>VÄSTRA GÖTALANDS LÄN</t>
        </is>
      </c>
      <c r="G174" t="inlineStr">
        <is>
          <t>LIDKÖPING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44902</v>
      </c>
      <c r="E175" s="1" t="n">
        <v>46262</v>
      </c>
      <c r="F175" t="inlineStr">
        <is>
          <t>VÄSTRA GÖTALANDS LÄN</t>
        </is>
      </c>
      <c r="G175" t="inlineStr">
        <is>
          <t>LIDKÖPING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46262</v>
      </c>
      <c r="F176" t="inlineStr">
        <is>
          <t>VÄSTRA GÖTALANDS LÄN</t>
        </is>
      </c>
      <c r="G176" t="inlineStr">
        <is>
          <t>LIDKÖPING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26148-2026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46262</v>
      </c>
      <c r="F177" t="inlineStr">
        <is>
          <t>VÄSTRA GÖTALANDS LÄN</t>
        </is>
      </c>
      <c r="G177" t="inlineStr">
        <is>
          <t>LIDKÖPING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46262</v>
      </c>
      <c r="F178" t="inlineStr">
        <is>
          <t>VÄSTRA GÖTALANDS LÄN</t>
        </is>
      </c>
      <c r="G178" t="inlineStr">
        <is>
          <t>LIDKÖPING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46231</v>
      </c>
      <c r="E179" s="1" t="n">
        <v>46262</v>
      </c>
      <c r="F179" t="inlineStr">
        <is>
          <t>VÄSTRA GÖTALANDS LÄN</t>
        </is>
      </c>
      <c r="G179" t="inlineStr">
        <is>
          <t>LIDKÖPING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46262</v>
      </c>
      <c r="F180" t="inlineStr">
        <is>
          <t>VÄSTRA GÖTALANDS LÄN</t>
        </is>
      </c>
      <c r="G180" t="inlineStr">
        <is>
          <t>LIDKÖPING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45174</v>
      </c>
      <c r="E181" s="1" t="n">
        <v>46262</v>
      </c>
      <c r="F181" t="inlineStr">
        <is>
          <t>VÄSTRA GÖTALANDS LÄN</t>
        </is>
      </c>
      <c r="G181" t="inlineStr">
        <is>
          <t>LIDKÖPING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46262</v>
      </c>
      <c r="F182" t="inlineStr">
        <is>
          <t>VÄSTRA GÖTALANDS LÄN</t>
        </is>
      </c>
      <c r="G182" t="inlineStr">
        <is>
          <t>LIDKÖPING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46190</v>
      </c>
      <c r="E183" s="1" t="n">
        <v>46262</v>
      </c>
      <c r="F183" t="inlineStr">
        <is>
          <t>VÄSTRA GÖTALANDS LÄN</t>
        </is>
      </c>
      <c r="G183" t="inlineStr">
        <is>
          <t>LIDKÖPING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40257-2023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45169</v>
      </c>
      <c r="E184" s="1" t="n">
        <v>46262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46262</v>
      </c>
      <c r="F185" t="inlineStr">
        <is>
          <t>VÄSTRA GÖTALANDS LÄN</t>
        </is>
      </c>
      <c r="G185" t="inlineStr">
        <is>
          <t>LIDKÖPING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46262</v>
      </c>
      <c r="F186" t="inlineStr">
        <is>
          <t>VÄSTRA GÖTALANDS LÄN</t>
        </is>
      </c>
      <c r="G186" t="inlineStr">
        <is>
          <t>LIDKÖPING</t>
        </is>
      </c>
      <c r="H186" t="inlineStr">
        <is>
          <t>Kyrkan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32497-2026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46262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Kyrkan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28068-2026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46262</v>
      </c>
      <c r="F188" t="inlineStr">
        <is>
          <t>VÄSTRA GÖTALANDS LÄN</t>
        </is>
      </c>
      <c r="G188" t="inlineStr">
        <is>
          <t>LIDKÖPING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28056-2026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46262</v>
      </c>
      <c r="F189" t="inlineStr">
        <is>
          <t>VÄSTRA GÖTALANDS LÄN</t>
        </is>
      </c>
      <c r="G189" t="inlineStr">
        <is>
          <t>LIDKÖPING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46196</v>
      </c>
      <c r="E190" s="1" t="n">
        <v>46262</v>
      </c>
      <c r="F190" t="inlineStr">
        <is>
          <t>VÄSTRA GÖTALANDS LÄN</t>
        </is>
      </c>
      <c r="G190" t="inlineStr">
        <is>
          <t>LIDKÖPING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62541-2021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44503</v>
      </c>
      <c r="E191" s="1" t="n">
        <v>46262</v>
      </c>
      <c r="F191" t="inlineStr">
        <is>
          <t>VÄSTRA GÖTALANDS LÄN</t>
        </is>
      </c>
      <c r="G191" t="inlineStr">
        <is>
          <t>LIDKÖPING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45478</v>
      </c>
      <c r="E192" s="1" t="n">
        <v>46262</v>
      </c>
      <c r="F192" t="inlineStr">
        <is>
          <t>VÄSTRA GÖTALANDS LÄN</t>
        </is>
      </c>
      <c r="G192" t="inlineStr">
        <is>
          <t>LIDKÖPING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46262</v>
      </c>
      <c r="F193" t="inlineStr">
        <is>
          <t>VÄSTRA GÖTALANDS LÄN</t>
        </is>
      </c>
      <c r="G193" t="inlineStr">
        <is>
          <t>LIDKÖPING</t>
        </is>
      </c>
      <c r="H193" t="inlineStr">
        <is>
          <t>Kyrkan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46262</v>
      </c>
      <c r="F194" t="inlineStr">
        <is>
          <t>VÄSTRA GÖTALANDS LÄN</t>
        </is>
      </c>
      <c r="G194" t="inlineStr">
        <is>
          <t>LIDKÖPING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46262</v>
      </c>
      <c r="F195" t="inlineStr">
        <is>
          <t>VÄSTRA GÖTALANDS LÄN</t>
        </is>
      </c>
      <c r="G195" t="inlineStr">
        <is>
          <t>LIDKÖPING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46262</v>
      </c>
      <c r="F196" t="inlineStr">
        <is>
          <t>VÄSTRA GÖTALANDS LÄN</t>
        </is>
      </c>
      <c r="G196" t="inlineStr">
        <is>
          <t>LIDKÖPING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46262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32923-2026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46244</v>
      </c>
      <c r="E198" s="1" t="n">
        <v>46262</v>
      </c>
      <c r="F198" t="inlineStr">
        <is>
          <t>VÄSTRA GÖTALANDS LÄN</t>
        </is>
      </c>
      <c r="G198" t="inlineStr">
        <is>
          <t>LIDKÖPING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45554</v>
      </c>
      <c r="E199" s="1" t="n">
        <v>46262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33209-2023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45127</v>
      </c>
      <c r="E200" s="1" t="n">
        <v>46262</v>
      </c>
      <c r="F200" t="inlineStr">
        <is>
          <t>VÄSTRA GÖTALANDS LÄN</t>
        </is>
      </c>
      <c r="G200" t="inlineStr">
        <is>
          <t>LIDKÖPING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46262</v>
      </c>
      <c r="F201" t="inlineStr">
        <is>
          <t>VÄSTRA GÖTALANDS LÄN</t>
        </is>
      </c>
      <c r="G201" t="inlineStr">
        <is>
          <t>LIDKÖPING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46244</v>
      </c>
      <c r="E202" s="1" t="n">
        <v>46262</v>
      </c>
      <c r="F202" t="inlineStr">
        <is>
          <t>VÄSTRA GÖTALANDS LÄN</t>
        </is>
      </c>
      <c r="G202" t="inlineStr">
        <is>
          <t>LIDKÖPING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44308-2023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45188</v>
      </c>
      <c r="E203" s="1" t="n">
        <v>46262</v>
      </c>
      <c r="F203" t="inlineStr">
        <is>
          <t>VÄSTRA GÖTALANDS LÄN</t>
        </is>
      </c>
      <c r="G203" t="inlineStr">
        <is>
          <t>LIDKÖPING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45006</v>
      </c>
      <c r="E204" s="1" t="n">
        <v>46262</v>
      </c>
      <c r="F204" t="inlineStr">
        <is>
          <t>VÄSTRA GÖTALANDS LÄN</t>
        </is>
      </c>
      <c r="G204" t="inlineStr">
        <is>
          <t>LIDKÖPING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46262</v>
      </c>
      <c r="F205" t="inlineStr">
        <is>
          <t>VÄSTRA GÖTALANDS LÄN</t>
        </is>
      </c>
      <c r="G205" t="inlineStr">
        <is>
          <t>LIDKÖPING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46262</v>
      </c>
      <c r="F206" t="inlineStr">
        <is>
          <t>VÄSTRA GÖTALANDS LÄN</t>
        </is>
      </c>
      <c r="G206" t="inlineStr">
        <is>
          <t>LIDKÖPING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46262</v>
      </c>
      <c r="F207" t="inlineStr">
        <is>
          <t>VÄSTRA GÖTALANDS LÄN</t>
        </is>
      </c>
      <c r="G207" t="inlineStr">
        <is>
          <t>LIDKÖPING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33984-2026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46252</v>
      </c>
      <c r="E208" s="1" t="n">
        <v>46262</v>
      </c>
      <c r="F208" t="inlineStr">
        <is>
          <t>VÄSTRA GÖTALANDS LÄN</t>
        </is>
      </c>
      <c r="G208" t="inlineStr">
        <is>
          <t>LIDKÖPING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46262</v>
      </c>
      <c r="F209" t="inlineStr">
        <is>
          <t>VÄSTRA GÖTALANDS LÄN</t>
        </is>
      </c>
      <c r="G209" t="inlineStr">
        <is>
          <t>LIDKÖPING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56740-2023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45244</v>
      </c>
      <c r="E210" s="1" t="n">
        <v>46262</v>
      </c>
      <c r="F210" t="inlineStr">
        <is>
          <t>VÄSTRA GÖTALANDS LÄN</t>
        </is>
      </c>
      <c r="G210" t="inlineStr">
        <is>
          <t>LIDKÖPING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34112-2026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46253</v>
      </c>
      <c r="E211" s="1" t="n">
        <v>46262</v>
      </c>
      <c r="F211" t="inlineStr">
        <is>
          <t>VÄSTRA GÖTALANDS LÄN</t>
        </is>
      </c>
      <c r="G211" t="inlineStr">
        <is>
          <t>LIDKÖPING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45568</v>
      </c>
      <c r="E212" s="1" t="n">
        <v>46262</v>
      </c>
      <c r="F212" t="inlineStr">
        <is>
          <t>VÄSTRA GÖTALANDS LÄN</t>
        </is>
      </c>
      <c r="G212" t="inlineStr">
        <is>
          <t>LIDKÖPING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59010-2024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45635</v>
      </c>
      <c r="E213" s="1" t="n">
        <v>46262</v>
      </c>
      <c r="F213" t="inlineStr">
        <is>
          <t>VÄSTRA GÖTALANDS LÄN</t>
        </is>
      </c>
      <c r="G213" t="inlineStr">
        <is>
          <t>LIDKÖPING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3762-2024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45558</v>
      </c>
      <c r="E214" s="1" t="n">
        <v>46262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1807-2022</t>
        </is>
      </c>
      <c r="B215" t="inlineStr">
        <is>
          <t>samrådsanmälan</t>
        </is>
      </c>
      <c r="C215" t="inlineStr">
        <is>
          <t>Skogsbilväg</t>
        </is>
      </c>
      <c r="D215" s="1" t="n">
        <v>44656</v>
      </c>
      <c r="E215" s="1" t="n">
        <v>46262</v>
      </c>
      <c r="F215" t="inlineStr">
        <is>
          <t>VÄSTRA GÖTALANDS LÄN</t>
        </is>
      </c>
      <c r="G215" t="inlineStr">
        <is>
          <t>LIDKÖPING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46262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46262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46262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2026-08-28T01:49:46Z</dcterms:created>
  <dcterms:modified xmlns:dcterms="http://purl.org/dc/terms/" xmlns:xsi="http://www.w3.org/2001/XMLSchema-instance" xsi:type="dcterms:W3CDTF">2026-08-28T01:49:46Z</dcterms:modified>
</cp:coreProperties>
</file>