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46317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46317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46317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46317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46317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46317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46317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46317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46317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46317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46317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46317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46317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46317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46317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46317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46317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10476-2023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44987</v>
      </c>
      <c r="E21" s="1" t="n">
        <v>46317</v>
      </c>
      <c r="F21" t="inlineStr">
        <is>
          <t>VÄSTRA GÖTALANDS LÄN</t>
        </is>
      </c>
      <c r="G21" t="inlineStr">
        <is>
          <t>LIDKÖPING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HYPERLINK("https://klasma.github.io/Logging_1494/artfynd/A 10476-2023 artfynd.xlsx", "A 10476-2023")</f>
        <v/>
      </c>
      <c r="X21">
        <f>HYPERLINK("https://klasma.github.io/Logging_1494/kartor/A 10476-2023 karta.png", "A 10476-2023")</f>
        <v/>
      </c>
      <c r="Y21">
        <f>HYPERLINK("https://klasma.github.io/Logging_1494/kartor_geotiff/A 10476-2023 georefererad karta.tif", "A 10476-2023")</f>
        <v/>
      </c>
      <c r="AA21">
        <f>HYPERLINK("https://klasma.github.io/Logging_1494/klagomål/A 10476-2023 FSC-klagomål.docx", "A 10476-2023")</f>
        <v/>
      </c>
      <c r="AB21">
        <f>HYPERLINK("https://klasma.github.io/Logging_1494/klagomålsmail/A 10476-2023 FSC-klagomål mail.docx", "A 10476-2023")</f>
        <v/>
      </c>
      <c r="AC21">
        <f>HYPERLINK("https://klasma.github.io/Logging_1494/tillsyn/A 10476-2023 tillsynsbegäran.docx", "A 10476-2023")</f>
        <v/>
      </c>
      <c r="AD21">
        <f>HYPERLINK("https://klasma.github.io/Logging_1494/tillsynsmail/A 10476-2023 tillsynsbegäran mail.docx", "A 10476-2023")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46317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37136-2026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46317</v>
      </c>
      <c r="F23" t="inlineStr">
        <is>
          <t>VÄSTRA GÖTALANDS LÄN</t>
        </is>
      </c>
      <c r="G23" t="inlineStr">
        <is>
          <t>LIDKÖPING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Fiskgjuse</t>
        </is>
      </c>
      <c r="W23">
        <f>HYPERLINK("https://klasma.github.io/Logging_1494/artfynd/A 37136-2026 artfynd.xlsx", "A 37136-2026")</f>
        <v/>
      </c>
      <c r="X23">
        <f>HYPERLINK("https://klasma.github.io/Logging_1494/kartor/A 37136-2026 karta.png", "A 37136-2026")</f>
        <v/>
      </c>
      <c r="Y23">
        <f>HYPERLINK("https://klasma.github.io/Logging_1494/kartor_geotiff/A 37136-2026 georefererad karta.tif", "A 37136-2026")</f>
        <v/>
      </c>
      <c r="AA23">
        <f>HYPERLINK("https://klasma.github.io/Logging_1494/klagomål/A 37136-2026 FSC-klagomål.docx", "A 37136-2026")</f>
        <v/>
      </c>
      <c r="AB23">
        <f>HYPERLINK("https://klasma.github.io/Logging_1494/klagomålsmail/A 37136-2026 FSC-klagomål mail.docx", "A 37136-2026")</f>
        <v/>
      </c>
      <c r="AC23">
        <f>HYPERLINK("https://klasma.github.io/Logging_1494/tillsyn/A 37136-2026 tillsynsbegäran.docx", "A 37136-2026")</f>
        <v/>
      </c>
      <c r="AD23">
        <f>HYPERLINK("https://klasma.github.io/Logging_1494/tillsynsmail/A 37136-2026 tillsynsbegäran mail.docx", "A 37136-2026")</f>
        <v/>
      </c>
      <c r="AE23">
        <f>HYPERLINK("https://klasma.github.io/Logging_1494/fåglar/A 37136-2026 prioriterade fågelarter.docx", "A 37136-2026")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46317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46317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46317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46317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46317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46317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46317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46317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46317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46317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46317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46317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46317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46317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46317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46317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46317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46317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46317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46317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46317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46317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46317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46317</v>
      </c>
      <c r="F48" t="inlineStr">
        <is>
          <t>VÄSTRA GÖTALANDS LÄN</t>
        </is>
      </c>
      <c r="G48" t="inlineStr">
        <is>
          <t>LIDKÖPING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46317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46317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46317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46317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11563-2025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45727</v>
      </c>
      <c r="E53" s="1" t="n">
        <v>46317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46317</v>
      </c>
      <c r="F54" t="inlineStr">
        <is>
          <t>VÄSTRA GÖTALANDS LÄN</t>
        </is>
      </c>
      <c r="G54" t="inlineStr">
        <is>
          <t>LIDKÖPING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46317</v>
      </c>
      <c r="F55" t="inlineStr">
        <is>
          <t>VÄSTRA GÖTALANDS LÄN</t>
        </is>
      </c>
      <c r="G55" t="inlineStr">
        <is>
          <t>LIDKÖPING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46317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19840-2025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45771</v>
      </c>
      <c r="E57" s="1" t="n">
        <v>46317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46317</v>
      </c>
      <c r="F58" t="inlineStr">
        <is>
          <t>VÄSTRA GÖTALANDS LÄN</t>
        </is>
      </c>
      <c r="G58" t="inlineStr">
        <is>
          <t>LIDKÖPING</t>
        </is>
      </c>
      <c r="I58" t="n">
        <v>17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45506</v>
      </c>
      <c r="E59" s="1" t="n">
        <v>46317</v>
      </c>
      <c r="F59" t="inlineStr">
        <is>
          <t>VÄSTRA GÖTALANDS LÄN</t>
        </is>
      </c>
      <c r="G59" t="inlineStr">
        <is>
          <t>LIDKÖPING</t>
        </is>
      </c>
      <c r="H59" t="inlineStr">
        <is>
          <t>Kommuner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46317</v>
      </c>
      <c r="F60" t="inlineStr">
        <is>
          <t>VÄSTRA GÖTALANDS LÄN</t>
        </is>
      </c>
      <c r="G60" t="inlineStr">
        <is>
          <t>LIDKÖPING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46317</v>
      </c>
      <c r="F61" t="inlineStr">
        <is>
          <t>VÄSTRA GÖTALANDS LÄN</t>
        </is>
      </c>
      <c r="G61" t="inlineStr">
        <is>
          <t>LIDKÖPING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45250</v>
      </c>
      <c r="E62" s="1" t="n">
        <v>46317</v>
      </c>
      <c r="F62" t="inlineStr">
        <is>
          <t>VÄSTRA GÖTALANDS LÄN</t>
        </is>
      </c>
      <c r="G62" t="inlineStr">
        <is>
          <t>LIDKÖPING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46317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46317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36816-2024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46317</v>
      </c>
      <c r="F65" t="inlineStr">
        <is>
          <t>VÄSTRA GÖTALANDS LÄN</t>
        </is>
      </c>
      <c r="G65" t="inlineStr">
        <is>
          <t>LIDKÖPING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46317</v>
      </c>
      <c r="F66" t="inlineStr">
        <is>
          <t>VÄSTRA GÖTALANDS LÄN</t>
        </is>
      </c>
      <c r="G66" t="inlineStr">
        <is>
          <t>LIDKÖPING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46317</v>
      </c>
      <c r="F67" t="inlineStr">
        <is>
          <t>VÄSTRA GÖTALANDS LÄN</t>
        </is>
      </c>
      <c r="G67" t="inlineStr">
        <is>
          <t>LIDKÖPING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45366</v>
      </c>
      <c r="E68" s="1" t="n">
        <v>46317</v>
      </c>
      <c r="F68" t="inlineStr">
        <is>
          <t>VÄSTRA GÖTALANDS LÄN</t>
        </is>
      </c>
      <c r="G68" t="inlineStr">
        <is>
          <t>LIDKÖPING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45357</v>
      </c>
      <c r="E69" s="1" t="n">
        <v>46317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46317</v>
      </c>
      <c r="F70" t="inlineStr">
        <is>
          <t>VÄSTRA GÖTALANDS LÄN</t>
        </is>
      </c>
      <c r="G70" t="inlineStr">
        <is>
          <t>LIDKÖPING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46317</v>
      </c>
      <c r="F71" t="inlineStr">
        <is>
          <t>VÄSTRA GÖTALANDS LÄN</t>
        </is>
      </c>
      <c r="G71" t="inlineStr">
        <is>
          <t>LIDKÖPING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46317</v>
      </c>
      <c r="F72" t="inlineStr">
        <is>
          <t>VÄSTRA GÖTALANDS LÄN</t>
        </is>
      </c>
      <c r="G72" t="inlineStr">
        <is>
          <t>LIDKÖPING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46317</v>
      </c>
      <c r="F73" t="inlineStr">
        <is>
          <t>VÄSTRA GÖTALANDS LÄN</t>
        </is>
      </c>
      <c r="G73" t="inlineStr">
        <is>
          <t>LIDKÖPING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45837</v>
      </c>
      <c r="E74" s="1" t="n">
        <v>46317</v>
      </c>
      <c r="F74" t="inlineStr">
        <is>
          <t>VÄSTRA GÖTALANDS LÄN</t>
        </is>
      </c>
      <c r="G74" t="inlineStr">
        <is>
          <t>LIDKÖPING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46317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46317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46317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46317</v>
      </c>
      <c r="F78" t="inlineStr">
        <is>
          <t>VÄSTRA GÖTALANDS LÄN</t>
        </is>
      </c>
      <c r="G78" t="inlineStr">
        <is>
          <t>LIDKÖPING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46317</v>
      </c>
      <c r="F79" t="inlineStr">
        <is>
          <t>VÄSTRA GÖTALANDS LÄN</t>
        </is>
      </c>
      <c r="G79" t="inlineStr">
        <is>
          <t>LIDKÖPING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46317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45554</v>
      </c>
      <c r="E81" s="1" t="n">
        <v>46317</v>
      </c>
      <c r="F81" t="inlineStr">
        <is>
          <t>VÄSTRA GÖTALANDS LÄN</t>
        </is>
      </c>
      <c r="G81" t="inlineStr">
        <is>
          <t>LIDKÖPING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46317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46317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46317</v>
      </c>
      <c r="F84" t="inlineStr">
        <is>
          <t>VÄSTRA GÖTALANDS LÄN</t>
        </is>
      </c>
      <c r="G84" t="inlineStr">
        <is>
          <t>LIDKÖPING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46317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37195-2025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45875</v>
      </c>
      <c r="E86" s="1" t="n">
        <v>46317</v>
      </c>
      <c r="F86" t="inlineStr">
        <is>
          <t>VÄSTRA GÖTALANDS LÄN</t>
        </is>
      </c>
      <c r="G86" t="inlineStr">
        <is>
          <t>LIDKÖPING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46317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46317</v>
      </c>
      <c r="F88" t="inlineStr">
        <is>
          <t>VÄSTRA GÖTALANDS LÄN</t>
        </is>
      </c>
      <c r="G88" t="inlineStr">
        <is>
          <t>LIDKÖPING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46317</v>
      </c>
      <c r="F89" t="inlineStr">
        <is>
          <t>VÄSTRA GÖTALANDS LÄN</t>
        </is>
      </c>
      <c r="G89" t="inlineStr">
        <is>
          <t>LIDKÖPING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45623</v>
      </c>
      <c r="E90" s="1" t="n">
        <v>46317</v>
      </c>
      <c r="F90" t="inlineStr">
        <is>
          <t>VÄSTRA GÖTALANDS LÄN</t>
        </is>
      </c>
      <c r="G90" t="inlineStr">
        <is>
          <t>LIDKÖPING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45623</v>
      </c>
      <c r="E91" s="1" t="n">
        <v>46317</v>
      </c>
      <c r="F91" t="inlineStr">
        <is>
          <t>VÄSTRA GÖTALANDS LÄN</t>
        </is>
      </c>
      <c r="G91" t="inlineStr">
        <is>
          <t>LIDKÖPING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55897-2024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46317</v>
      </c>
      <c r="F92" t="inlineStr">
        <is>
          <t>VÄSTRA GÖTALANDS LÄN</t>
        </is>
      </c>
      <c r="G92" t="inlineStr">
        <is>
          <t>LIDKÖPING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46317</v>
      </c>
      <c r="F93" t="inlineStr">
        <is>
          <t>VÄSTRA GÖTALANDS LÄN</t>
        </is>
      </c>
      <c r="G93" t="inlineStr">
        <is>
          <t>LIDKÖPING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46317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63778-2023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45278</v>
      </c>
      <c r="E95" s="1" t="n">
        <v>46317</v>
      </c>
      <c r="F95" t="inlineStr">
        <is>
          <t>VÄSTRA GÖTALANDS LÄN</t>
        </is>
      </c>
      <c r="G95" t="inlineStr">
        <is>
          <t>LIDKÖPING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45006</v>
      </c>
      <c r="E96" s="1" t="n">
        <v>46317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44960</v>
      </c>
      <c r="E97" s="1" t="n">
        <v>46317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46317</v>
      </c>
      <c r="F98" t="inlineStr">
        <is>
          <t>VÄSTRA GÖTALANDS LÄN</t>
        </is>
      </c>
      <c r="G98" t="inlineStr">
        <is>
          <t>LIDKÖPING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46050</v>
      </c>
      <c r="E99" s="1" t="n">
        <v>46317</v>
      </c>
      <c r="F99" t="inlineStr">
        <is>
          <t>VÄSTRA GÖTALANDS LÄN</t>
        </is>
      </c>
      <c r="G99" t="inlineStr">
        <is>
          <t>LIDKÖPING</t>
        </is>
      </c>
      <c r="H99" t="inlineStr">
        <is>
          <t>Kyrkan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46317</v>
      </c>
      <c r="F100" t="inlineStr">
        <is>
          <t>VÄSTRA GÖTALANDS LÄN</t>
        </is>
      </c>
      <c r="G100" t="inlineStr">
        <is>
          <t>LIDKÖPING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46317</v>
      </c>
      <c r="F101" t="inlineStr">
        <is>
          <t>VÄSTRA GÖTALANDS LÄN</t>
        </is>
      </c>
      <c r="G101" t="inlineStr">
        <is>
          <t>LIDKÖPING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46317</v>
      </c>
      <c r="F102" t="inlineStr">
        <is>
          <t>VÄSTRA GÖTALANDS LÄN</t>
        </is>
      </c>
      <c r="G102" t="inlineStr">
        <is>
          <t>LIDKÖPING</t>
        </is>
      </c>
      <c r="I102" t="n">
        <v>22.6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46072</v>
      </c>
      <c r="E103" s="1" t="n">
        <v>46317</v>
      </c>
      <c r="F103" t="inlineStr">
        <is>
          <t>VÄSTRA GÖTALANDS LÄN</t>
        </is>
      </c>
      <c r="G103" t="inlineStr">
        <is>
          <t>LIDKÖPING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46317</v>
      </c>
      <c r="F104" t="inlineStr">
        <is>
          <t>VÄSTRA GÖTALANDS LÄN</t>
        </is>
      </c>
      <c r="G104" t="inlineStr">
        <is>
          <t>LIDKÖPING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46317</v>
      </c>
      <c r="F105" t="inlineStr">
        <is>
          <t>VÄSTRA GÖTALANDS LÄN</t>
        </is>
      </c>
      <c r="G105" t="inlineStr">
        <is>
          <t>LIDKÖPING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46317</v>
      </c>
      <c r="F106" t="inlineStr">
        <is>
          <t>VÄSTRA GÖTALANDS LÄN</t>
        </is>
      </c>
      <c r="G106" t="inlineStr">
        <is>
          <t>LIDKÖPING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45233</v>
      </c>
      <c r="E107" s="1" t="n">
        <v>46317</v>
      </c>
      <c r="F107" t="inlineStr">
        <is>
          <t>VÄSTRA GÖTALANDS LÄN</t>
        </is>
      </c>
      <c r="G107" t="inlineStr">
        <is>
          <t>LIDKÖPING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46317</v>
      </c>
      <c r="F108" t="inlineStr">
        <is>
          <t>VÄSTRA GÖTALANDS LÄN</t>
        </is>
      </c>
      <c r="G108" t="inlineStr">
        <is>
          <t>LIDKÖPING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46317</v>
      </c>
      <c r="F109" t="inlineStr">
        <is>
          <t>VÄSTRA GÖTALANDS LÄN</t>
        </is>
      </c>
      <c r="G109" t="inlineStr">
        <is>
          <t>LIDKÖPING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46317</v>
      </c>
      <c r="F110" t="inlineStr">
        <is>
          <t>VÄSTRA GÖTALANDS LÄN</t>
        </is>
      </c>
      <c r="G110" t="inlineStr">
        <is>
          <t>LIDKÖPING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46120</v>
      </c>
      <c r="E111" s="1" t="n">
        <v>46317</v>
      </c>
      <c r="F111" t="inlineStr">
        <is>
          <t>VÄSTRA GÖTALANDS LÄN</t>
        </is>
      </c>
      <c r="G111" t="inlineStr">
        <is>
          <t>LIDKÖPING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46317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46122</v>
      </c>
      <c r="E113" s="1" t="n">
        <v>46317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46317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46317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46317</v>
      </c>
      <c r="F116" t="inlineStr">
        <is>
          <t>VÄSTRA GÖTALANDS LÄN</t>
        </is>
      </c>
      <c r="G116" t="inlineStr">
        <is>
          <t>LIDKÖPING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46317</v>
      </c>
      <c r="F117" t="inlineStr">
        <is>
          <t>VÄSTRA GÖTALANDS LÄN</t>
        </is>
      </c>
      <c r="G117" t="inlineStr">
        <is>
          <t>LIDKÖPING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45355</v>
      </c>
      <c r="E118" s="1" t="n">
        <v>46317</v>
      </c>
      <c r="F118" t="inlineStr">
        <is>
          <t>VÄSTRA GÖTALANDS LÄN</t>
        </is>
      </c>
      <c r="G118" t="inlineStr">
        <is>
          <t>LIDKÖPING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46317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46317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45375</v>
      </c>
      <c r="E121" s="1" t="n">
        <v>46317</v>
      </c>
      <c r="F121" t="inlineStr">
        <is>
          <t>VÄSTRA GÖTALANDS LÄN</t>
        </is>
      </c>
      <c r="G121" t="inlineStr">
        <is>
          <t>LIDKÖPING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46317</v>
      </c>
      <c r="F122" t="inlineStr">
        <is>
          <t>VÄSTRA GÖTALANDS LÄN</t>
        </is>
      </c>
      <c r="G122" t="inlineStr">
        <is>
          <t>LIDKÖPING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44819</v>
      </c>
      <c r="E123" s="1" t="n">
        <v>46317</v>
      </c>
      <c r="F123" t="inlineStr">
        <is>
          <t>VÄSTRA GÖTALANDS LÄN</t>
        </is>
      </c>
      <c r="G123" t="inlineStr">
        <is>
          <t>LIDKÖPING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46317</v>
      </c>
      <c r="F124" t="inlineStr">
        <is>
          <t>VÄSTRA GÖTALANDS LÄN</t>
        </is>
      </c>
      <c r="G124" t="inlineStr">
        <is>
          <t>LIDKÖPING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45527</v>
      </c>
      <c r="E125" s="1" t="n">
        <v>46317</v>
      </c>
      <c r="F125" t="inlineStr">
        <is>
          <t>VÄSTRA GÖTALANDS LÄN</t>
        </is>
      </c>
      <c r="G125" t="inlineStr">
        <is>
          <t>LIDKÖPING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45529</v>
      </c>
      <c r="E126" s="1" t="n">
        <v>46317</v>
      </c>
      <c r="F126" t="inlineStr">
        <is>
          <t>VÄSTRA GÖTALANDS LÄN</t>
        </is>
      </c>
      <c r="G126" t="inlineStr">
        <is>
          <t>LIDKÖPING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46317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46317</v>
      </c>
      <c r="F128" t="inlineStr">
        <is>
          <t>VÄSTRA GÖTALANDS LÄN</t>
        </is>
      </c>
      <c r="G128" t="inlineStr">
        <is>
          <t>LIDKÖPING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46317</v>
      </c>
      <c r="F129" t="inlineStr">
        <is>
          <t>VÄSTRA GÖTALANDS LÄN</t>
        </is>
      </c>
      <c r="G129" t="inlineStr">
        <is>
          <t>LIDKÖPING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46317</v>
      </c>
      <c r="F130" t="inlineStr">
        <is>
          <t>VÄSTRA GÖTALANDS LÄN</t>
        </is>
      </c>
      <c r="G130" t="inlineStr">
        <is>
          <t>LIDKÖPING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46317</v>
      </c>
      <c r="F131" t="inlineStr">
        <is>
          <t>VÄSTRA GÖTALANDS LÄN</t>
        </is>
      </c>
      <c r="G131" t="inlineStr">
        <is>
          <t>LIDKÖPING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46317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46317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46317</v>
      </c>
      <c r="F134" t="inlineStr">
        <is>
          <t>VÄSTRA GÖTALANDS LÄN</t>
        </is>
      </c>
      <c r="G134" t="inlineStr">
        <is>
          <t>LIDKÖPING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46317</v>
      </c>
      <c r="F135" t="inlineStr">
        <is>
          <t>VÄSTRA GÖTALANDS LÄN</t>
        </is>
      </c>
      <c r="G135" t="inlineStr">
        <is>
          <t>LIDKÖPING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46317</v>
      </c>
      <c r="F136" t="inlineStr">
        <is>
          <t>VÄSTRA GÖTALANDS LÄN</t>
        </is>
      </c>
      <c r="G136" t="inlineStr">
        <is>
          <t>LIDKÖPING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46317</v>
      </c>
      <c r="F137" t="inlineStr">
        <is>
          <t>VÄSTRA GÖTALANDS LÄN</t>
        </is>
      </c>
      <c r="G137" t="inlineStr">
        <is>
          <t>LIDKÖPING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46317</v>
      </c>
      <c r="F138" t="inlineStr">
        <is>
          <t>VÄSTRA GÖTALANDS LÄN</t>
        </is>
      </c>
      <c r="G138" t="inlineStr">
        <is>
          <t>LIDKÖPING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46317</v>
      </c>
      <c r="F139" t="inlineStr">
        <is>
          <t>VÄSTRA GÖTALANDS LÄN</t>
        </is>
      </c>
      <c r="G139" t="inlineStr">
        <is>
          <t>LIDKÖPING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46317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Kommuner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46317</v>
      </c>
      <c r="F141" t="inlineStr">
        <is>
          <t>VÄSTRA GÖTALANDS LÄN</t>
        </is>
      </c>
      <c r="G141" t="inlineStr">
        <is>
          <t>LIDKÖPING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46317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46144</v>
      </c>
      <c r="E143" s="1" t="n">
        <v>46317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45625</v>
      </c>
      <c r="E144" s="1" t="n">
        <v>46317</v>
      </c>
      <c r="F144" t="inlineStr">
        <is>
          <t>VÄSTRA GÖTALANDS LÄN</t>
        </is>
      </c>
      <c r="G144" t="inlineStr">
        <is>
          <t>LIDKÖPING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46317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46317</v>
      </c>
      <c r="F146" t="inlineStr">
        <is>
          <t>VÄSTRA GÖTALANDS LÄN</t>
        </is>
      </c>
      <c r="G146" t="inlineStr">
        <is>
          <t>LIDKÖPING</t>
        </is>
      </c>
      <c r="I146" t="n">
        <v>17.4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46317</v>
      </c>
      <c r="F147" t="inlineStr">
        <is>
          <t>VÄSTRA GÖTALANDS LÄN</t>
        </is>
      </c>
      <c r="G147" t="inlineStr">
        <is>
          <t>LIDKÖPING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46317</v>
      </c>
      <c r="F148" t="inlineStr">
        <is>
          <t>VÄSTRA GÖTALANDS LÄN</t>
        </is>
      </c>
      <c r="G148" t="inlineStr">
        <is>
          <t>LIDKÖPING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46317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Kyrkan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46317</v>
      </c>
      <c r="F150" t="inlineStr">
        <is>
          <t>VÄSTRA GÖTALANDS LÄN</t>
        </is>
      </c>
      <c r="G150" t="inlineStr">
        <is>
          <t>LIDKÖPING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45665</v>
      </c>
      <c r="E151" s="1" t="n">
        <v>46317</v>
      </c>
      <c r="F151" t="inlineStr">
        <is>
          <t>VÄSTRA GÖTALANDS LÄN</t>
        </is>
      </c>
      <c r="G151" t="inlineStr">
        <is>
          <t>LIDKÖPING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46317</v>
      </c>
      <c r="F152" t="inlineStr">
        <is>
          <t>VÄSTRA GÖTALANDS LÄN</t>
        </is>
      </c>
      <c r="G152" t="inlineStr">
        <is>
          <t>LIDKÖPING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60642-2023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45260</v>
      </c>
      <c r="E153" s="1" t="n">
        <v>46317</v>
      </c>
      <c r="F153" t="inlineStr">
        <is>
          <t>VÄSTRA GÖTALANDS LÄN</t>
        </is>
      </c>
      <c r="G153" t="inlineStr">
        <is>
          <t>LIDKÖPING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46317</v>
      </c>
      <c r="F154" t="inlineStr">
        <is>
          <t>VÄSTRA GÖTALANDS LÄN</t>
        </is>
      </c>
      <c r="G154" t="inlineStr">
        <is>
          <t>LIDKÖPING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46317</v>
      </c>
      <c r="F155" t="inlineStr">
        <is>
          <t>VÄSTRA GÖTALANDS LÄN</t>
        </is>
      </c>
      <c r="G155" t="inlineStr">
        <is>
          <t>LIDKÖPING</t>
        </is>
      </c>
      <c r="I155" t="n">
        <v>11.7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46317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46317</v>
      </c>
      <c r="F157" t="inlineStr">
        <is>
          <t>VÄSTRA GÖTALANDS LÄN</t>
        </is>
      </c>
      <c r="G157" t="inlineStr">
        <is>
          <t>LIDKÖPING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46317</v>
      </c>
      <c r="F158" t="inlineStr">
        <is>
          <t>VÄSTRA GÖTALANDS LÄN</t>
        </is>
      </c>
      <c r="G158" t="inlineStr">
        <is>
          <t>LIDKÖPING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46317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46317</v>
      </c>
      <c r="F160" t="inlineStr">
        <is>
          <t>VÄSTRA GÖTALANDS LÄN</t>
        </is>
      </c>
      <c r="G160" t="inlineStr">
        <is>
          <t>LIDKÖPING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44979</v>
      </c>
      <c r="E161" s="1" t="n">
        <v>46317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46317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46317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44964</v>
      </c>
      <c r="E164" s="1" t="n">
        <v>46317</v>
      </c>
      <c r="F164" t="inlineStr">
        <is>
          <t>VÄSTRA GÖTALANDS LÄN</t>
        </is>
      </c>
      <c r="G164" t="inlineStr">
        <is>
          <t>LIDKÖPING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46190</v>
      </c>
      <c r="E165" s="1" t="n">
        <v>46317</v>
      </c>
      <c r="F165" t="inlineStr">
        <is>
          <t>VÄSTRA GÖTALANDS LÄN</t>
        </is>
      </c>
      <c r="G165" t="inlineStr">
        <is>
          <t>LIDKÖPING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46317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46317</v>
      </c>
      <c r="F167" t="inlineStr">
        <is>
          <t>VÄSTRA GÖTALANDS LÄN</t>
        </is>
      </c>
      <c r="G167" t="inlineStr">
        <is>
          <t>LIDKÖPING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46317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46317</v>
      </c>
      <c r="F169" t="inlineStr">
        <is>
          <t>VÄSTRA GÖTALANDS LÄN</t>
        </is>
      </c>
      <c r="G169" t="inlineStr">
        <is>
          <t>LIDKÖPING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58620-2022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46317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46317</v>
      </c>
      <c r="F171" t="inlineStr">
        <is>
          <t>VÄSTRA GÖTALANDS LÄN</t>
        </is>
      </c>
      <c r="G171" t="inlineStr">
        <is>
          <t>LIDKÖPING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46317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53279-2023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45229</v>
      </c>
      <c r="E173" s="1" t="n">
        <v>46317</v>
      </c>
      <c r="F173" t="inlineStr">
        <is>
          <t>VÄSTRA GÖTALANDS LÄN</t>
        </is>
      </c>
      <c r="G173" t="inlineStr">
        <is>
          <t>LIDKÖPING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46317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43460-2024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46317</v>
      </c>
      <c r="F175" t="inlineStr">
        <is>
          <t>VÄSTRA GÖTALANDS LÄN</t>
        </is>
      </c>
      <c r="G175" t="inlineStr">
        <is>
          <t>LIDKÖPING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46317</v>
      </c>
      <c r="F176" t="inlineStr">
        <is>
          <t>VÄSTRA GÖTALANDS LÄN</t>
        </is>
      </c>
      <c r="G176" t="inlineStr">
        <is>
          <t>LIDKÖPING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46317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46317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46317</v>
      </c>
      <c r="F179" t="inlineStr">
        <is>
          <t>VÄSTRA GÖTALANDS LÄN</t>
        </is>
      </c>
      <c r="G179" t="inlineStr">
        <is>
          <t>LIDKÖPING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46317</v>
      </c>
      <c r="F180" t="inlineStr">
        <is>
          <t>VÄSTRA GÖTALANDS LÄN</t>
        </is>
      </c>
      <c r="G180" t="inlineStr">
        <is>
          <t>LIDKÖPING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46317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46317</v>
      </c>
      <c r="F182" t="inlineStr">
        <is>
          <t>VÄSTRA GÖTALANDS LÄN</t>
        </is>
      </c>
      <c r="G182" t="inlineStr">
        <is>
          <t>LIDKÖPING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46317</v>
      </c>
      <c r="F183" t="inlineStr">
        <is>
          <t>VÄSTRA GÖTALANDS LÄN</t>
        </is>
      </c>
      <c r="G183" t="inlineStr">
        <is>
          <t>LIDKÖPING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45590</v>
      </c>
      <c r="E184" s="1" t="n">
        <v>46317</v>
      </c>
      <c r="F184" t="inlineStr">
        <is>
          <t>VÄSTRA GÖTALANDS LÄN</t>
        </is>
      </c>
      <c r="G184" t="inlineStr">
        <is>
          <t>LIDKÖPING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46230</v>
      </c>
      <c r="E185" s="1" t="n">
        <v>46317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46317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Kommuner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45125</v>
      </c>
      <c r="E187" s="1" t="n">
        <v>46317</v>
      </c>
      <c r="F187" t="inlineStr">
        <is>
          <t>VÄSTRA GÖTALANDS LÄN</t>
        </is>
      </c>
      <c r="G187" t="inlineStr">
        <is>
          <t>LIDKÖPING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46317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46317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46317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46317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46317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Kyrkan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46317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46317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46317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46244</v>
      </c>
      <c r="E196" s="1" t="n">
        <v>46317</v>
      </c>
      <c r="F196" t="inlineStr">
        <is>
          <t>VÄSTRA GÖTALANDS LÄN</t>
        </is>
      </c>
      <c r="G196" t="inlineStr">
        <is>
          <t>LIDKÖPING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46244</v>
      </c>
      <c r="E197" s="1" t="n">
        <v>46317</v>
      </c>
      <c r="F197" t="inlineStr">
        <is>
          <t>VÄSTRA GÖTALANDS LÄN</t>
        </is>
      </c>
      <c r="G197" t="inlineStr">
        <is>
          <t>LIDKÖPING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46317</v>
      </c>
      <c r="F198" t="inlineStr">
        <is>
          <t>VÄSTRA GÖTALANDS LÄN</t>
        </is>
      </c>
      <c r="G198" t="inlineStr">
        <is>
          <t>LIDKÖPING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46317</v>
      </c>
      <c r="F199" t="inlineStr">
        <is>
          <t>VÄSTRA GÖTALANDS LÄN</t>
        </is>
      </c>
      <c r="G199" t="inlineStr">
        <is>
          <t>LIDKÖPING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46317</v>
      </c>
      <c r="F200" t="inlineStr">
        <is>
          <t>VÄSTRA GÖTALANDS LÄN</t>
        </is>
      </c>
      <c r="G200" t="inlineStr">
        <is>
          <t>LIDKÖPING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46317</v>
      </c>
      <c r="F201" t="inlineStr">
        <is>
          <t>VÄSTRA GÖTALANDS LÄN</t>
        </is>
      </c>
      <c r="G201" t="inlineStr">
        <is>
          <t>LIDKÖPING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46317</v>
      </c>
      <c r="F202" t="inlineStr">
        <is>
          <t>VÄSTRA GÖTALANDS LÄN</t>
        </is>
      </c>
      <c r="G202" t="inlineStr">
        <is>
          <t>LIDKÖPING</t>
        </is>
      </c>
      <c r="I202" t="n">
        <v>12.4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39914-2026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46290</v>
      </c>
      <c r="E203" s="1" t="n">
        <v>46317</v>
      </c>
      <c r="F203" t="inlineStr">
        <is>
          <t>VÄSTRA GÖTALANDS LÄN</t>
        </is>
      </c>
      <c r="G203" t="inlineStr">
        <is>
          <t>LIDKÖPING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46317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46317</v>
      </c>
      <c r="F205" t="inlineStr">
        <is>
          <t>VÄSTRA GÖTALANDS LÄN</t>
        </is>
      </c>
      <c r="G205" t="inlineStr">
        <is>
          <t>LIDKÖPING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46317</v>
      </c>
      <c r="F206" t="inlineStr">
        <is>
          <t>VÄSTRA GÖTALANDS LÄN</t>
        </is>
      </c>
      <c r="G206" t="inlineStr">
        <is>
          <t>LIDKÖPING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46317</v>
      </c>
      <c r="F207" t="inlineStr">
        <is>
          <t>VÄSTRA GÖTALANDS LÄN</t>
        </is>
      </c>
      <c r="G207" t="inlineStr">
        <is>
          <t>LIDKÖPING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46317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46317</v>
      </c>
      <c r="F209" t="inlineStr">
        <is>
          <t>VÄSTRA GÖTALANDS LÄN</t>
        </is>
      </c>
      <c r="G209" t="inlineStr">
        <is>
          <t>LIDKÖPING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46317</v>
      </c>
      <c r="F210" t="inlineStr">
        <is>
          <t>VÄSTRA GÖTALANDS LÄN</t>
        </is>
      </c>
      <c r="G210" t="inlineStr">
        <is>
          <t>LIDKÖPING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46317</v>
      </c>
      <c r="F211" t="inlineStr">
        <is>
          <t>VÄSTRA GÖTALANDS LÄN</t>
        </is>
      </c>
      <c r="G211" t="inlineStr">
        <is>
          <t>LIDKÖPING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46317</v>
      </c>
      <c r="F212" t="inlineStr">
        <is>
          <t>VÄSTRA GÖTALANDS LÄN</t>
        </is>
      </c>
      <c r="G212" t="inlineStr">
        <is>
          <t>LIDKÖPING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33984-2026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46252</v>
      </c>
      <c r="E213" s="1" t="n">
        <v>46317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46295</v>
      </c>
      <c r="E214" s="1" t="n">
        <v>46317</v>
      </c>
      <c r="F214" t="inlineStr">
        <is>
          <t>VÄSTRA GÖTALANDS LÄN</t>
        </is>
      </c>
      <c r="G214" t="inlineStr">
        <is>
          <t>LIDKÖPING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46317</v>
      </c>
      <c r="F215" t="inlineStr">
        <is>
          <t>VÄSTRA GÖTALANDS LÄN</t>
        </is>
      </c>
      <c r="G215" t="inlineStr">
        <is>
          <t>LIDKÖPING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46271</v>
      </c>
      <c r="E216" s="1" t="n">
        <v>46317</v>
      </c>
      <c r="F216" t="inlineStr">
        <is>
          <t>VÄSTRA GÖTALANDS LÄN</t>
        </is>
      </c>
      <c r="G216" t="inlineStr">
        <is>
          <t>LIDKÖPING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45625</v>
      </c>
      <c r="E217" s="1" t="n">
        <v>46317</v>
      </c>
      <c r="F217" t="inlineStr">
        <is>
          <t>VÄSTRA GÖTALANDS LÄN</t>
        </is>
      </c>
      <c r="G217" t="inlineStr">
        <is>
          <t>LIDKÖPING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46317</v>
      </c>
      <c r="F218" t="inlineStr">
        <is>
          <t>VÄSTRA GÖTALANDS LÄN</t>
        </is>
      </c>
      <c r="G218" t="inlineStr">
        <is>
          <t>LIDKÖPING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42028-2026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46304</v>
      </c>
      <c r="E219" s="1" t="n">
        <v>46317</v>
      </c>
      <c r="F219" t="inlineStr">
        <is>
          <t>VÄSTRA GÖTALANDS LÄN</t>
        </is>
      </c>
      <c r="G219" t="inlineStr">
        <is>
          <t>LIDKÖPING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46259</v>
      </c>
      <c r="E220" s="1" t="n">
        <v>46317</v>
      </c>
      <c r="F220" t="inlineStr">
        <is>
          <t>VÄSTRA GÖTALANDS LÄN</t>
        </is>
      </c>
      <c r="G220" t="inlineStr">
        <is>
          <t>LIDKÖPING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46259</v>
      </c>
      <c r="E221" s="1" t="n">
        <v>46317</v>
      </c>
      <c r="F221" t="inlineStr">
        <is>
          <t>VÄSTRA GÖTALANDS LÄN</t>
        </is>
      </c>
      <c r="G221" t="inlineStr">
        <is>
          <t>LIDKÖPING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46317</v>
      </c>
      <c r="F222" t="inlineStr">
        <is>
          <t>VÄSTRA GÖTALANDS LÄN</t>
        </is>
      </c>
      <c r="G222" t="inlineStr">
        <is>
          <t>LIDKÖPING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46310</v>
      </c>
      <c r="E223" s="1" t="n">
        <v>46317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46310</v>
      </c>
      <c r="E224" s="1" t="n">
        <v>46317</v>
      </c>
      <c r="F224" t="inlineStr">
        <is>
          <t>VÄSTRA GÖTALANDS LÄN</t>
        </is>
      </c>
      <c r="G224" t="inlineStr">
        <is>
          <t>LIDKÖPING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46317</v>
      </c>
      <c r="F225" t="inlineStr">
        <is>
          <t>VÄSTRA GÖTALANDS LÄN</t>
        </is>
      </c>
      <c r="G225" t="inlineStr">
        <is>
          <t>LIDKÖPING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46273</v>
      </c>
      <c r="E226" s="1" t="n">
        <v>46317</v>
      </c>
      <c r="F226" t="inlineStr">
        <is>
          <t>VÄSTRA GÖTALANDS LÄN</t>
        </is>
      </c>
      <c r="G226" t="inlineStr">
        <is>
          <t>LIDKÖPING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46317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46317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46317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46317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46317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2026-10-22T01:55:13Z</dcterms:created>
  <dcterms:modified xmlns:dcterms="http://purl.org/dc/terms/" xmlns:xsi="http://www.w3.org/2001/XMLSchema-instance" xsi:type="dcterms:W3CDTF">2026-10-22T01:55:14Z</dcterms:modified>
</cp:coreProperties>
</file>