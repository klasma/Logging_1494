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46316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46316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46316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46316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46316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46316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46316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41088-2026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46300</v>
      </c>
      <c r="E13" s="1" t="n">
        <v>46316</v>
      </c>
      <c r="F13" t="inlineStr">
        <is>
          <t>VÄSTRA GÖTALANDS LÄN</t>
        </is>
      </c>
      <c r="G13" t="inlineStr">
        <is>
          <t>LIDKÖPING</t>
        </is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Tofsmes</t>
        </is>
      </c>
      <c r="W13">
        <f>HYPERLINK("https://klasma.github.io/Logging_1494/artfynd/A 41088-2026 artfynd.xlsx", "A 41088-2026")</f>
        <v/>
      </c>
      <c r="X13">
        <f>HYPERLINK("https://klasma.github.io/Logging_1494/kartor/A 41088-2026 karta.png", "A 41088-2026")</f>
        <v/>
      </c>
      <c r="Y13">
        <f>HYPERLINK("https://klasma.github.io/Logging_1494/kartor_geotiff/A 41088-2026 georefererad karta.tif", "A 41088-2026")</f>
        <v/>
      </c>
      <c r="AA13">
        <f>HYPERLINK("https://klasma.github.io/Logging_1494/klagomål/A 41088-2026 FSC-klagomål.docx", "A 41088-2026")</f>
        <v/>
      </c>
      <c r="AB13">
        <f>HYPERLINK("https://klasma.github.io/Logging_1494/klagomålsmail/A 41088-2026 FSC-klagomål mail.docx", "A 41088-2026")</f>
        <v/>
      </c>
      <c r="AC13">
        <f>HYPERLINK("https://klasma.github.io/Logging_1494/tillsyn/A 41088-2026 tillsynsbegäran.docx", "A 41088-2026")</f>
        <v/>
      </c>
      <c r="AD13">
        <f>HYPERLINK("https://klasma.github.io/Logging_1494/tillsynsmail/A 41088-2026 tillsynsbegäran mail.docx", "A 41088-2026")</f>
        <v/>
      </c>
      <c r="AE13">
        <f>HYPERLINK("https://klasma.github.io/Logging_1494/fåglar/A 41088-2026 prioriterade fågelarter.docx", "A 41088-2026")</f>
        <v/>
      </c>
    </row>
    <row r="14" ht="15" customHeight="1">
      <c r="A14" t="inlineStr">
        <is>
          <t>A 7261-2025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45702</v>
      </c>
      <c r="E14" s="1" t="n">
        <v>46316</v>
      </c>
      <c r="F14" t="inlineStr">
        <is>
          <t>VÄSTRA GÖTALANDS LÄN</t>
        </is>
      </c>
      <c r="G14" t="inlineStr">
        <is>
          <t>LIDKÖPING</t>
        </is>
      </c>
      <c r="I14" t="n">
        <v>2.3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Västlig hakmossa</t>
        </is>
      </c>
      <c r="W14">
        <f>HYPERLINK("https://klasma.github.io/Logging_1494/artfynd/A 7261-2025 artfynd.xlsx", "A 7261-2025")</f>
        <v/>
      </c>
      <c r="X14">
        <f>HYPERLINK("https://klasma.github.io/Logging_1494/kartor/A 7261-2025 karta.png", "A 7261-2025")</f>
        <v/>
      </c>
      <c r="Y14">
        <f>HYPERLINK("https://klasma.github.io/Logging_1494/kartor_geotiff/A 7261-2025 georefererad karta.tif", "A 7261-2025")</f>
        <v/>
      </c>
      <c r="Z14">
        <f>HYPERLINK("https://klasma.github.io/Logging_1494/knärot/A 7261-2025 karta knärot.png", "A 7261-2025")</f>
        <v/>
      </c>
      <c r="AA14">
        <f>HYPERLINK("https://klasma.github.io/Logging_1494/klagomål/A 7261-2025 FSC-klagomål.docx", "A 7261-2025")</f>
        <v/>
      </c>
      <c r="AB14">
        <f>HYPERLINK("https://klasma.github.io/Logging_1494/klagomålsmail/A 7261-2025 FSC-klagomål mail.docx", "A 7261-2025")</f>
        <v/>
      </c>
      <c r="AC14">
        <f>HYPERLINK("https://klasma.github.io/Logging_1494/tillsyn/A 7261-2025 tillsynsbegäran.docx", "A 7261-2025")</f>
        <v/>
      </c>
      <c r="AD14">
        <f>HYPERLINK("https://klasma.github.io/Logging_1494/tillsynsmail/A 7261-2025 tillsynsbegäran mail.docx", "A 7261-2025")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46316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46316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46316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46316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44680-2023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46316</v>
      </c>
      <c r="F19" t="inlineStr">
        <is>
          <t>VÄSTRA GÖTALANDS LÄN</t>
        </is>
      </c>
      <c r="G19" t="inlineStr">
        <is>
          <t>LIDKÖPING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Trädlärka</t>
        </is>
      </c>
      <c r="W19">
        <f>HYPERLINK("https://klasma.github.io/Logging_1494/artfynd/A 44680-2023 artfynd.xlsx", "A 44680-2023")</f>
        <v/>
      </c>
      <c r="X19">
        <f>HYPERLINK("https://klasma.github.io/Logging_1494/kartor/A 44680-2023 karta.png", "A 44680-2023")</f>
        <v/>
      </c>
      <c r="Y19">
        <f>HYPERLINK("https://klasma.github.io/Logging_1494/kartor_geotiff/A 44680-2023 georefererad karta.tif", "A 44680-2023")</f>
        <v/>
      </c>
      <c r="AA19">
        <f>HYPERLINK("https://klasma.github.io/Logging_1494/klagomål/A 44680-2023 FSC-klagomål.docx", "A 44680-2023")</f>
        <v/>
      </c>
      <c r="AB19">
        <f>HYPERLINK("https://klasma.github.io/Logging_1494/klagomålsmail/A 44680-2023 FSC-klagomål mail.docx", "A 44680-2023")</f>
        <v/>
      </c>
      <c r="AC19">
        <f>HYPERLINK("https://klasma.github.io/Logging_1494/tillsyn/A 44680-2023 tillsynsbegäran.docx", "A 44680-2023")</f>
        <v/>
      </c>
      <c r="AD19">
        <f>HYPERLINK("https://klasma.github.io/Logging_1494/tillsynsmail/A 44680-2023 tillsynsbegäran mail.docx", "A 44680-2023")</f>
        <v/>
      </c>
      <c r="AE19">
        <f>HYPERLINK("https://klasma.github.io/Logging_1494/fåglar/A 44680-2023 prioriterade fågelarter.docx", "A 44680-2023")</f>
        <v/>
      </c>
    </row>
    <row r="20" ht="15" customHeight="1">
      <c r="A20" t="inlineStr">
        <is>
          <t>A 62569-2022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44924</v>
      </c>
      <c r="E20" s="1" t="n">
        <v>46316</v>
      </c>
      <c r="F20" t="inlineStr">
        <is>
          <t>VÄSTRA GÖTALANDS LÄN</t>
        </is>
      </c>
      <c r="G20" t="inlineStr">
        <is>
          <t>LIDKÖPING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HYPERLINK("https://klasma.github.io/Logging_1494/artfynd/A 62569-2022 artfynd.xlsx", "A 62569-2022")</f>
        <v/>
      </c>
      <c r="X20">
        <f>HYPERLINK("https://klasma.github.io/Logging_1494/kartor/A 62569-2022 karta.png", "A 62569-2022")</f>
        <v/>
      </c>
      <c r="Y20">
        <f>HYPERLINK("https://klasma.github.io/Logging_1494/kartor_geotiff/A 62569-2022 georefererad karta.tif", "A 62569-2022")</f>
        <v/>
      </c>
      <c r="AA20">
        <f>HYPERLINK("https://klasma.github.io/Logging_1494/klagomål/A 62569-2022 FSC-klagomål.docx", "A 62569-2022")</f>
        <v/>
      </c>
      <c r="AB20">
        <f>HYPERLINK("https://klasma.github.io/Logging_1494/klagomålsmail/A 62569-2022 FSC-klagomål mail.docx", "A 62569-2022")</f>
        <v/>
      </c>
      <c r="AC20">
        <f>HYPERLINK("https://klasma.github.io/Logging_1494/tillsyn/A 62569-2022 tillsynsbegäran.docx", "A 62569-2022")</f>
        <v/>
      </c>
      <c r="AD20">
        <f>HYPERLINK("https://klasma.github.io/Logging_1494/tillsynsmail/A 62569-2022 tillsynsbegäran mail.docx", "A 62569-2022")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46316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46316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41746-2026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46302</v>
      </c>
      <c r="E23" s="1" t="n">
        <v>46316</v>
      </c>
      <c r="F23" t="inlineStr">
        <is>
          <t>VÄSTRA GÖTALANDS LÄN</t>
        </is>
      </c>
      <c r="G23" t="inlineStr">
        <is>
          <t>LIDKÖPING</t>
        </is>
      </c>
      <c r="H23" t="inlineStr">
        <is>
          <t>Kommuner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Vanlig snok</t>
        </is>
      </c>
      <c r="W23">
        <f>HYPERLINK("https://klasma.github.io/Logging_1494/artfynd/A 41746-2026 artfynd.xlsx", "A 41746-2026")</f>
        <v/>
      </c>
      <c r="X23">
        <f>HYPERLINK("https://klasma.github.io/Logging_1494/kartor/A 41746-2026 karta.png", "A 41746-2026")</f>
        <v/>
      </c>
      <c r="Y23">
        <f>HYPERLINK("https://klasma.github.io/Logging_1494/kartor_geotiff/A 41746-2026 georefererad karta.tif", "A 41746-2026")</f>
        <v/>
      </c>
      <c r="AA23">
        <f>HYPERLINK("https://klasma.github.io/Logging_1494/klagomål/A 41746-2026 FSC-klagomål.docx", "A 41746-2026")</f>
        <v/>
      </c>
      <c r="AB23">
        <f>HYPERLINK("https://klasma.github.io/Logging_1494/klagomålsmail/A 41746-2026 FSC-klagomål mail.docx", "A 41746-2026")</f>
        <v/>
      </c>
      <c r="AC23">
        <f>HYPERLINK("https://klasma.github.io/Logging_1494/tillsyn/A 41746-2026 tillsynsbegäran.docx", "A 41746-2026")</f>
        <v/>
      </c>
      <c r="AD23">
        <f>HYPERLINK("https://klasma.github.io/Logging_1494/tillsynsmail/A 41746-2026 tillsynsbegäran mail.docx", "A 41746-2026")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46316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46316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46316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46316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46316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46316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46316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46316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46316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46316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46316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46316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46316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46316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46316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46316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46316</v>
      </c>
      <c r="F42" t="inlineStr">
        <is>
          <t>VÄSTRA GÖTALANDS LÄN</t>
        </is>
      </c>
      <c r="G42" t="inlineStr">
        <is>
          <t>LIDKÖPING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46316</v>
      </c>
      <c r="F43" t="inlineStr">
        <is>
          <t>VÄSTRA GÖTALANDS LÄN</t>
        </is>
      </c>
      <c r="G43" t="inlineStr">
        <is>
          <t>LIDKÖPING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60642-2023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45260</v>
      </c>
      <c r="E44" s="1" t="n">
        <v>46316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46316</v>
      </c>
      <c r="F45" t="inlineStr">
        <is>
          <t>VÄSTRA GÖTALANDS LÄN</t>
        </is>
      </c>
      <c r="G45" t="inlineStr">
        <is>
          <t>LIDKÖPING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46316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46316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45615</v>
      </c>
      <c r="E48" s="1" t="n">
        <v>46316</v>
      </c>
      <c r="F48" t="inlineStr">
        <is>
          <t>VÄSTRA GÖTALANDS LÄN</t>
        </is>
      </c>
      <c r="G48" t="inlineStr">
        <is>
          <t>LIDKÖPING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45726</v>
      </c>
      <c r="E49" s="1" t="n">
        <v>46316</v>
      </c>
      <c r="F49" t="inlineStr">
        <is>
          <t>VÄSTRA GÖTALANDS LÄN</t>
        </is>
      </c>
      <c r="G49" t="inlineStr">
        <is>
          <t>LIDKÖPING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46316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46316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45229</v>
      </c>
      <c r="E52" s="1" t="n">
        <v>46316</v>
      </c>
      <c r="F52" t="inlineStr">
        <is>
          <t>VÄSTRA GÖTALANDS LÄN</t>
        </is>
      </c>
      <c r="G52" t="inlineStr">
        <is>
          <t>LIDKÖPING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46316</v>
      </c>
      <c r="F53" t="inlineStr">
        <is>
          <t>VÄSTRA GÖTALANDS LÄN</t>
        </is>
      </c>
      <c r="G53" t="inlineStr">
        <is>
          <t>LIDKÖPING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11563-2025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45727</v>
      </c>
      <c r="E54" s="1" t="n">
        <v>46316</v>
      </c>
      <c r="F54" t="inlineStr">
        <is>
          <t>VÄSTRA GÖTALANDS LÄN</t>
        </is>
      </c>
      <c r="G54" t="inlineStr">
        <is>
          <t>LIDKÖPING</t>
        </is>
      </c>
      <c r="H54" t="inlineStr">
        <is>
          <t>Kommuner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19840-2025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45771</v>
      </c>
      <c r="E55" s="1" t="n">
        <v>46316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45250</v>
      </c>
      <c r="E56" s="1" t="n">
        <v>46316</v>
      </c>
      <c r="F56" t="inlineStr">
        <is>
          <t>VÄSTRA GÖTALANDS LÄN</t>
        </is>
      </c>
      <c r="G56" t="inlineStr">
        <is>
          <t>LIDKÖPING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46316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46316</v>
      </c>
      <c r="F58" t="inlineStr">
        <is>
          <t>VÄSTRA GÖTALANDS LÄN</t>
        </is>
      </c>
      <c r="G58" t="inlineStr">
        <is>
          <t>LIDKÖPING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45375</v>
      </c>
      <c r="E59" s="1" t="n">
        <v>46316</v>
      </c>
      <c r="F59" t="inlineStr">
        <is>
          <t>VÄSTRA GÖTALANDS LÄN</t>
        </is>
      </c>
      <c r="G59" t="inlineStr">
        <is>
          <t>LIDKÖPING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45623</v>
      </c>
      <c r="E60" s="1" t="n">
        <v>46316</v>
      </c>
      <c r="F60" t="inlineStr">
        <is>
          <t>VÄSTRA GÖTALANDS LÄN</t>
        </is>
      </c>
      <c r="G60" t="inlineStr">
        <is>
          <t>LIDKÖPING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46316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Kyrkan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45590</v>
      </c>
      <c r="E62" s="1" t="n">
        <v>46316</v>
      </c>
      <c r="F62" t="inlineStr">
        <is>
          <t>VÄSTRA GÖTALANDS LÄN</t>
        </is>
      </c>
      <c r="G62" t="inlineStr">
        <is>
          <t>LIDKÖPING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46316</v>
      </c>
      <c r="F63" t="inlineStr">
        <is>
          <t>VÄSTRA GÖTALANDS LÄN</t>
        </is>
      </c>
      <c r="G63" t="inlineStr">
        <is>
          <t>LIDKÖPING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44819</v>
      </c>
      <c r="E64" s="1" t="n">
        <v>46316</v>
      </c>
      <c r="F64" t="inlineStr">
        <is>
          <t>VÄSTRA GÖTALANDS LÄN</t>
        </is>
      </c>
      <c r="G64" t="inlineStr">
        <is>
          <t>LIDKÖPING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46316</v>
      </c>
      <c r="F65" t="inlineStr">
        <is>
          <t>VÄSTRA GÖTALANDS LÄN</t>
        </is>
      </c>
      <c r="G65" t="inlineStr">
        <is>
          <t>LIDKÖPING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63778-2023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45278</v>
      </c>
      <c r="E66" s="1" t="n">
        <v>46316</v>
      </c>
      <c r="F66" t="inlineStr">
        <is>
          <t>VÄSTRA GÖTALANDS LÄN</t>
        </is>
      </c>
      <c r="G66" t="inlineStr">
        <is>
          <t>LIDKÖPING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45229</v>
      </c>
      <c r="E67" s="1" t="n">
        <v>46316</v>
      </c>
      <c r="F67" t="inlineStr">
        <is>
          <t>VÄSTRA GÖTALANDS LÄN</t>
        </is>
      </c>
      <c r="G67" t="inlineStr">
        <is>
          <t>LIDKÖPING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46316</v>
      </c>
      <c r="F68" t="inlineStr">
        <is>
          <t>VÄSTRA GÖTALANDS LÄN</t>
        </is>
      </c>
      <c r="G68" t="inlineStr">
        <is>
          <t>LIDKÖPING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46316</v>
      </c>
      <c r="F69" t="inlineStr">
        <is>
          <t>VÄSTRA GÖTALANDS LÄN</t>
        </is>
      </c>
      <c r="G69" t="inlineStr">
        <is>
          <t>LIDKÖPING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46316</v>
      </c>
      <c r="F70" t="inlineStr">
        <is>
          <t>VÄSTRA GÖTALANDS LÄN</t>
        </is>
      </c>
      <c r="G70" t="inlineStr">
        <is>
          <t>LIDKÖPING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46316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45670</v>
      </c>
      <c r="E72" s="1" t="n">
        <v>46316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46316</v>
      </c>
      <c r="F73" t="inlineStr">
        <is>
          <t>VÄSTRA GÖTALANDS LÄN</t>
        </is>
      </c>
      <c r="G73" t="inlineStr">
        <is>
          <t>LIDKÖPING</t>
        </is>
      </c>
      <c r="I73" t="n">
        <v>17.4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46316</v>
      </c>
      <c r="F74" t="inlineStr">
        <is>
          <t>VÄSTRA GÖTALANDS LÄN</t>
        </is>
      </c>
      <c r="G74" t="inlineStr">
        <is>
          <t>LIDKÖPING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46316</v>
      </c>
      <c r="F75" t="inlineStr">
        <is>
          <t>VÄSTRA GÖTALANDS LÄN</t>
        </is>
      </c>
      <c r="G75" t="inlineStr">
        <is>
          <t>LIDKÖPING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46316</v>
      </c>
      <c r="F76" t="inlineStr">
        <is>
          <t>VÄSTRA GÖTALANDS LÄN</t>
        </is>
      </c>
      <c r="G76" t="inlineStr">
        <is>
          <t>LIDKÖPING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59068-2023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45252</v>
      </c>
      <c r="E77" s="1" t="n">
        <v>46316</v>
      </c>
      <c r="F77" t="inlineStr">
        <is>
          <t>VÄSTRA GÖTALANDS LÄN</t>
        </is>
      </c>
      <c r="G77" t="inlineStr">
        <is>
          <t>LIDKÖPING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46316</v>
      </c>
      <c r="F78" t="inlineStr">
        <is>
          <t>VÄSTRA GÖTALANDS LÄN</t>
        </is>
      </c>
      <c r="G78" t="inlineStr">
        <is>
          <t>LIDKÖPING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46316</v>
      </c>
      <c r="F79" t="inlineStr">
        <is>
          <t>VÄSTRA GÖTALANDS LÄN</t>
        </is>
      </c>
      <c r="G79" t="inlineStr">
        <is>
          <t>LIDKÖPING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46316</v>
      </c>
      <c r="F80" t="inlineStr">
        <is>
          <t>VÄSTRA GÖTALANDS LÄN</t>
        </is>
      </c>
      <c r="G80" t="inlineStr">
        <is>
          <t>LIDKÖPING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46316</v>
      </c>
      <c r="F81" t="inlineStr">
        <is>
          <t>VÄSTRA GÖTALANDS LÄN</t>
        </is>
      </c>
      <c r="G81" t="inlineStr">
        <is>
          <t>LIDKÖPING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46316</v>
      </c>
      <c r="F82" t="inlineStr">
        <is>
          <t>VÄSTRA GÖTALANDS LÄN</t>
        </is>
      </c>
      <c r="G82" t="inlineStr">
        <is>
          <t>LIDKÖPING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46316</v>
      </c>
      <c r="F83" t="inlineStr">
        <is>
          <t>VÄSTRA GÖTALANDS LÄN</t>
        </is>
      </c>
      <c r="G83" t="inlineStr">
        <is>
          <t>LIDKÖPING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46316</v>
      </c>
      <c r="F84" t="inlineStr">
        <is>
          <t>VÄSTRA GÖTALANDS LÄN</t>
        </is>
      </c>
      <c r="G84" t="inlineStr">
        <is>
          <t>LIDKÖPING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46316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46316</v>
      </c>
      <c r="F86" t="inlineStr">
        <is>
          <t>VÄSTRA GÖTALANDS LÄN</t>
        </is>
      </c>
      <c r="G86" t="inlineStr">
        <is>
          <t>LIDKÖPING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46316</v>
      </c>
      <c r="F87" t="inlineStr">
        <is>
          <t>VÄSTRA GÖTALANDS LÄN</t>
        </is>
      </c>
      <c r="G87" t="inlineStr">
        <is>
          <t>LIDKÖPING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17533-2026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46120</v>
      </c>
      <c r="E88" s="1" t="n">
        <v>46316</v>
      </c>
      <c r="F88" t="inlineStr">
        <is>
          <t>VÄSTRA GÖTALANDS LÄN</t>
        </is>
      </c>
      <c r="G88" t="inlineStr">
        <is>
          <t>LIDKÖPING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46316</v>
      </c>
      <c r="F89" t="inlineStr">
        <is>
          <t>VÄSTRA GÖTALANDS LÄN</t>
        </is>
      </c>
      <c r="G89" t="inlineStr">
        <is>
          <t>LIDKÖPING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46316</v>
      </c>
      <c r="F90" t="inlineStr">
        <is>
          <t>VÄSTRA GÖTALANDS LÄN</t>
        </is>
      </c>
      <c r="G90" t="inlineStr">
        <is>
          <t>LIDKÖPING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46316</v>
      </c>
      <c r="F91" t="inlineStr">
        <is>
          <t>VÄSTRA GÖTALANDS LÄN</t>
        </is>
      </c>
      <c r="G91" t="inlineStr">
        <is>
          <t>LIDKÖPING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46122</v>
      </c>
      <c r="E92" s="1" t="n">
        <v>46316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46316</v>
      </c>
      <c r="F93" t="inlineStr">
        <is>
          <t>VÄSTRA GÖTALANDS LÄN</t>
        </is>
      </c>
      <c r="G93" t="inlineStr">
        <is>
          <t>LIDKÖPING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45837</v>
      </c>
      <c r="E94" s="1" t="n">
        <v>46316</v>
      </c>
      <c r="F94" t="inlineStr">
        <is>
          <t>VÄSTRA GÖTALANDS LÄN</t>
        </is>
      </c>
      <c r="G94" t="inlineStr">
        <is>
          <t>LIDKÖPING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46129</v>
      </c>
      <c r="E95" s="1" t="n">
        <v>46316</v>
      </c>
      <c r="F95" t="inlineStr">
        <is>
          <t>VÄSTRA GÖTALANDS LÄN</t>
        </is>
      </c>
      <c r="G95" t="inlineStr">
        <is>
          <t>LIDKÖPING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46316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46316</v>
      </c>
      <c r="F97" t="inlineStr">
        <is>
          <t>VÄSTRA GÖTALANDS LÄN</t>
        </is>
      </c>
      <c r="G97" t="inlineStr">
        <is>
          <t>LIDKÖPING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59069-2023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45252</v>
      </c>
      <c r="E98" s="1" t="n">
        <v>46316</v>
      </c>
      <c r="F98" t="inlineStr">
        <is>
          <t>VÄSTRA GÖTALANDS LÄN</t>
        </is>
      </c>
      <c r="G98" t="inlineStr">
        <is>
          <t>LIDKÖPING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26356-2025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46316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46316</v>
      </c>
      <c r="F100" t="inlineStr">
        <is>
          <t>VÄSTRA GÖTALANDS LÄN</t>
        </is>
      </c>
      <c r="G100" t="inlineStr">
        <is>
          <t>LIDKÖPING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46316</v>
      </c>
      <c r="F101" t="inlineStr">
        <is>
          <t>VÄSTRA GÖTALANDS LÄN</t>
        </is>
      </c>
      <c r="G101" t="inlineStr">
        <is>
          <t>LIDKÖPING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46316</v>
      </c>
      <c r="F102" t="inlineStr">
        <is>
          <t>VÄSTRA GÖTALANDS LÄN</t>
        </is>
      </c>
      <c r="G102" t="inlineStr">
        <is>
          <t>LIDKÖPING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44967</v>
      </c>
      <c r="E103" s="1" t="n">
        <v>46316</v>
      </c>
      <c r="F103" t="inlineStr">
        <is>
          <t>VÄSTRA GÖTALANDS LÄN</t>
        </is>
      </c>
      <c r="G103" t="inlineStr">
        <is>
          <t>LIDKÖPING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46316</v>
      </c>
      <c r="F104" t="inlineStr">
        <is>
          <t>VÄSTRA GÖTALANDS LÄN</t>
        </is>
      </c>
      <c r="G104" t="inlineStr">
        <is>
          <t>LIDKÖPING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46316</v>
      </c>
      <c r="F105" t="inlineStr">
        <is>
          <t>VÄSTRA GÖTALANDS LÄN</t>
        </is>
      </c>
      <c r="G105" t="inlineStr">
        <is>
          <t>LIDKÖPING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44767</v>
      </c>
      <c r="E106" s="1" t="n">
        <v>46316</v>
      </c>
      <c r="F106" t="inlineStr">
        <is>
          <t>VÄSTRA GÖTALANDS LÄN</t>
        </is>
      </c>
      <c r="G106" t="inlineStr">
        <is>
          <t>LIDKÖPING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45867</v>
      </c>
      <c r="E107" s="1" t="n">
        <v>46316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46316</v>
      </c>
      <c r="F108" t="inlineStr">
        <is>
          <t>VÄSTRA GÖTALANDS LÄN</t>
        </is>
      </c>
      <c r="G108" t="inlineStr">
        <is>
          <t>LIDKÖPING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45875</v>
      </c>
      <c r="E109" s="1" t="n">
        <v>46316</v>
      </c>
      <c r="F109" t="inlineStr">
        <is>
          <t>VÄSTRA GÖTALANDS LÄN</t>
        </is>
      </c>
      <c r="G109" t="inlineStr">
        <is>
          <t>LIDKÖPING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45776</v>
      </c>
      <c r="E110" s="1" t="n">
        <v>46316</v>
      </c>
      <c r="F110" t="inlineStr">
        <is>
          <t>VÄSTRA GÖTALANDS LÄN</t>
        </is>
      </c>
      <c r="G110" t="inlineStr">
        <is>
          <t>LIDKÖPING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45797</v>
      </c>
      <c r="E111" s="1" t="n">
        <v>46316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46316</v>
      </c>
      <c r="F112" t="inlineStr">
        <is>
          <t>VÄSTRA GÖTALANDS LÄN</t>
        </is>
      </c>
      <c r="G112" t="inlineStr">
        <is>
          <t>LIDKÖPING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46316</v>
      </c>
      <c r="F113" t="inlineStr">
        <is>
          <t>VÄSTRA GÖTALANDS LÄN</t>
        </is>
      </c>
      <c r="G113" t="inlineStr">
        <is>
          <t>LIDKÖPING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21017-2026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46144</v>
      </c>
      <c r="E114" s="1" t="n">
        <v>46316</v>
      </c>
      <c r="F114" t="inlineStr">
        <is>
          <t>VÄSTRA GÖTALANDS LÄN</t>
        </is>
      </c>
      <c r="G114" t="inlineStr">
        <is>
          <t>LIDKÖPING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7760-2025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46316</v>
      </c>
      <c r="F115" t="inlineStr">
        <is>
          <t>VÄSTRA GÖTALANDS LÄN</t>
        </is>
      </c>
      <c r="G115" t="inlineStr">
        <is>
          <t>LIDKÖPING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46316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46316</v>
      </c>
      <c r="F117" t="inlineStr">
        <is>
          <t>VÄSTRA GÖTALANDS LÄN</t>
        </is>
      </c>
      <c r="G117" t="inlineStr">
        <is>
          <t>LIDKÖPING</t>
        </is>
      </c>
      <c r="I117" t="n">
        <v>22.6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46316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46316</v>
      </c>
      <c r="F119" t="inlineStr">
        <is>
          <t>VÄSTRA GÖTALANDS LÄN</t>
        </is>
      </c>
      <c r="G119" t="inlineStr">
        <is>
          <t>LIDKÖPING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45529</v>
      </c>
      <c r="E120" s="1" t="n">
        <v>46316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46316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46069</v>
      </c>
      <c r="E122" s="1" t="n">
        <v>46316</v>
      </c>
      <c r="F122" t="inlineStr">
        <is>
          <t>VÄSTRA GÖTALANDS LÄN</t>
        </is>
      </c>
      <c r="G122" t="inlineStr">
        <is>
          <t>LIDKÖPING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45432</v>
      </c>
      <c r="E123" s="1" t="n">
        <v>46316</v>
      </c>
      <c r="F123" t="inlineStr">
        <is>
          <t>VÄSTRA GÖTALANDS LÄN</t>
        </is>
      </c>
      <c r="G123" t="inlineStr">
        <is>
          <t>LIDKÖPING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46316</v>
      </c>
      <c r="F124" t="inlineStr">
        <is>
          <t>VÄSTRA GÖTALANDS LÄN</t>
        </is>
      </c>
      <c r="G124" t="inlineStr">
        <is>
          <t>LIDKÖPING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46316</v>
      </c>
      <c r="F125" t="inlineStr">
        <is>
          <t>VÄSTRA GÖTALANDS LÄN</t>
        </is>
      </c>
      <c r="G125" t="inlineStr">
        <is>
          <t>LIDKÖPING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45665</v>
      </c>
      <c r="E126" s="1" t="n">
        <v>46316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45141</v>
      </c>
      <c r="E127" s="1" t="n">
        <v>46316</v>
      </c>
      <c r="F127" t="inlineStr">
        <is>
          <t>VÄSTRA GÖTALANDS LÄN</t>
        </is>
      </c>
      <c r="G127" t="inlineStr">
        <is>
          <t>LIDKÖPING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46316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46316</v>
      </c>
      <c r="F129" t="inlineStr">
        <is>
          <t>VÄSTRA GÖTALANDS LÄN</t>
        </is>
      </c>
      <c r="G129" t="inlineStr">
        <is>
          <t>LIDKÖPING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58393-2022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44901</v>
      </c>
      <c r="E130" s="1" t="n">
        <v>46316</v>
      </c>
      <c r="F130" t="inlineStr">
        <is>
          <t>VÄSTRA GÖTALANDS LÄN</t>
        </is>
      </c>
      <c r="G130" t="inlineStr">
        <is>
          <t>LIDKÖPING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46316</v>
      </c>
      <c r="F131" t="inlineStr">
        <is>
          <t>VÄSTRA GÖTALANDS LÄN</t>
        </is>
      </c>
      <c r="G131" t="inlineStr">
        <is>
          <t>LIDKÖPING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46316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46316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46316</v>
      </c>
      <c r="F134" t="inlineStr">
        <is>
          <t>VÄSTRA GÖTALANDS LÄN</t>
        </is>
      </c>
      <c r="G134" t="inlineStr">
        <is>
          <t>LIDKÖPING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46316</v>
      </c>
      <c r="F135" t="inlineStr">
        <is>
          <t>VÄSTRA GÖTALANDS LÄN</t>
        </is>
      </c>
      <c r="G135" t="inlineStr">
        <is>
          <t>LIDKÖPING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46316</v>
      </c>
      <c r="F136" t="inlineStr">
        <is>
          <t>VÄSTRA GÖTALANDS LÄN</t>
        </is>
      </c>
      <c r="G136" t="inlineStr">
        <is>
          <t>LIDKÖPING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46316</v>
      </c>
      <c r="F137" t="inlineStr">
        <is>
          <t>VÄSTRA GÖTALANDS LÄN</t>
        </is>
      </c>
      <c r="G137" t="inlineStr">
        <is>
          <t>LIDKÖPING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46316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46316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46316</v>
      </c>
      <c r="F140" t="inlineStr">
        <is>
          <t>VÄSTRA GÖTALANDS LÄN</t>
        </is>
      </c>
      <c r="G140" t="inlineStr">
        <is>
          <t>LIDKÖPING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46316</v>
      </c>
      <c r="F141" t="inlineStr">
        <is>
          <t>VÄSTRA GÖTALANDS LÄN</t>
        </is>
      </c>
      <c r="G141" t="inlineStr">
        <is>
          <t>LIDKÖPING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46316</v>
      </c>
      <c r="F142" t="inlineStr">
        <is>
          <t>VÄSTRA GÖTALANDS LÄN</t>
        </is>
      </c>
      <c r="G142" t="inlineStr">
        <is>
          <t>LIDKÖPING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46316</v>
      </c>
      <c r="F143" t="inlineStr">
        <is>
          <t>VÄSTRA GÖTALANDS LÄN</t>
        </is>
      </c>
      <c r="G143" t="inlineStr">
        <is>
          <t>LIDKÖPING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46316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46316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46195</v>
      </c>
      <c r="E146" s="1" t="n">
        <v>46316</v>
      </c>
      <c r="F146" t="inlineStr">
        <is>
          <t>VÄSTRA GÖTALANDS LÄN</t>
        </is>
      </c>
      <c r="G146" t="inlineStr">
        <is>
          <t>LIDKÖPING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46316</v>
      </c>
      <c r="F147" t="inlineStr">
        <is>
          <t>VÄSTRA GÖTALANDS LÄN</t>
        </is>
      </c>
      <c r="G147" t="inlineStr">
        <is>
          <t>LIDKÖPING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46316</v>
      </c>
      <c r="F148" t="inlineStr">
        <is>
          <t>VÄSTRA GÖTALANDS LÄN</t>
        </is>
      </c>
      <c r="G148" t="inlineStr">
        <is>
          <t>LIDKÖPING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53273-2023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45229</v>
      </c>
      <c r="E149" s="1" t="n">
        <v>46316</v>
      </c>
      <c r="F149" t="inlineStr">
        <is>
          <t>VÄSTRA GÖTALANDS LÄN</t>
        </is>
      </c>
      <c r="G149" t="inlineStr">
        <is>
          <t>LIDKÖPING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45084</v>
      </c>
      <c r="E150" s="1" t="n">
        <v>46316</v>
      </c>
      <c r="F150" t="inlineStr">
        <is>
          <t>VÄSTRA GÖTALANDS LÄN</t>
        </is>
      </c>
      <c r="G150" t="inlineStr">
        <is>
          <t>LIDKÖPING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46316</v>
      </c>
      <c r="F151" t="inlineStr">
        <is>
          <t>VÄSTRA GÖTALANDS LÄN</t>
        </is>
      </c>
      <c r="G151" t="inlineStr">
        <is>
          <t>LIDKÖPING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46230</v>
      </c>
      <c r="E152" s="1" t="n">
        <v>46316</v>
      </c>
      <c r="F152" t="inlineStr">
        <is>
          <t>VÄSTRA GÖTALANDS LÄN</t>
        </is>
      </c>
      <c r="G152" t="inlineStr">
        <is>
          <t>LIDKÖPING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46231</v>
      </c>
      <c r="E153" s="1" t="n">
        <v>46316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46231</v>
      </c>
      <c r="E154" s="1" t="n">
        <v>46316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46231</v>
      </c>
      <c r="E155" s="1" t="n">
        <v>46316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46316</v>
      </c>
      <c r="F156" t="inlineStr">
        <is>
          <t>VÄSTRA GÖTALANDS LÄN</t>
        </is>
      </c>
      <c r="G156" t="inlineStr">
        <is>
          <t>LIDKÖPING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45120</v>
      </c>
      <c r="E157" s="1" t="n">
        <v>46316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46280</v>
      </c>
      <c r="E158" s="1" t="n">
        <v>46316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46280</v>
      </c>
      <c r="E159" s="1" t="n">
        <v>46316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46280</v>
      </c>
      <c r="E160" s="1" t="n">
        <v>46316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44964</v>
      </c>
      <c r="E161" s="1" t="n">
        <v>46316</v>
      </c>
      <c r="F161" t="inlineStr">
        <is>
          <t>VÄSTRA GÖTALANDS LÄN</t>
        </is>
      </c>
      <c r="G161" t="inlineStr">
        <is>
          <t>LIDKÖPING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46316</v>
      </c>
      <c r="F162" t="inlineStr">
        <is>
          <t>VÄSTRA GÖTALANDS LÄN</t>
        </is>
      </c>
      <c r="G162" t="inlineStr">
        <is>
          <t>LIDKÖPING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46239</v>
      </c>
      <c r="E163" s="1" t="n">
        <v>46316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Kyrkan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46239</v>
      </c>
      <c r="E164" s="1" t="n">
        <v>46316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46239</v>
      </c>
      <c r="E165" s="1" t="n">
        <v>46316</v>
      </c>
      <c r="F165" t="inlineStr">
        <is>
          <t>VÄSTRA GÖTALANDS LÄN</t>
        </is>
      </c>
      <c r="G165" t="inlineStr">
        <is>
          <t>LIDKÖPING</t>
        </is>
      </c>
      <c r="H165" t="inlineStr">
        <is>
          <t>Kyrkan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46280</v>
      </c>
      <c r="E166" s="1" t="n">
        <v>46316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46316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46316</v>
      </c>
      <c r="F168" t="inlineStr">
        <is>
          <t>VÄSTRA GÖTALANDS LÄN</t>
        </is>
      </c>
      <c r="G168" t="inlineStr">
        <is>
          <t>LIDKÖPING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46316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46316</v>
      </c>
      <c r="F170" t="inlineStr">
        <is>
          <t>VÄSTRA GÖTALANDS LÄN</t>
        </is>
      </c>
      <c r="G170" t="inlineStr">
        <is>
          <t>LIDKÖPING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46316</v>
      </c>
      <c r="F171" t="inlineStr">
        <is>
          <t>VÄSTRA GÖTALANDS LÄN</t>
        </is>
      </c>
      <c r="G171" t="inlineStr">
        <is>
          <t>LIDKÖPING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46244</v>
      </c>
      <c r="E172" s="1" t="n">
        <v>46316</v>
      </c>
      <c r="F172" t="inlineStr">
        <is>
          <t>VÄSTRA GÖTALANDS LÄN</t>
        </is>
      </c>
      <c r="G172" t="inlineStr">
        <is>
          <t>LIDKÖPING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45006</v>
      </c>
      <c r="E173" s="1" t="n">
        <v>46316</v>
      </c>
      <c r="F173" t="inlineStr">
        <is>
          <t>VÄSTRA GÖTALANDS LÄN</t>
        </is>
      </c>
      <c r="G173" t="inlineStr">
        <is>
          <t>LIDKÖPING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46316</v>
      </c>
      <c r="F174" t="inlineStr">
        <is>
          <t>VÄSTRA GÖTALANDS LÄN</t>
        </is>
      </c>
      <c r="G174" t="inlineStr">
        <is>
          <t>LIDKÖPING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46316</v>
      </c>
      <c r="F175" t="inlineStr">
        <is>
          <t>VÄSTRA GÖTALANDS LÄN</t>
        </is>
      </c>
      <c r="G175" t="inlineStr">
        <is>
          <t>LIDKÖPING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45642</v>
      </c>
      <c r="E176" s="1" t="n">
        <v>46316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46316</v>
      </c>
      <c r="F177" t="inlineStr">
        <is>
          <t>VÄSTRA GÖTALANDS LÄN</t>
        </is>
      </c>
      <c r="G177" t="inlineStr">
        <is>
          <t>LIDKÖPING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45506</v>
      </c>
      <c r="E178" s="1" t="n">
        <v>46316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46289</v>
      </c>
      <c r="E179" s="1" t="n">
        <v>46316</v>
      </c>
      <c r="F179" t="inlineStr">
        <is>
          <t>VÄSTRA GÖTALANDS LÄN</t>
        </is>
      </c>
      <c r="G179" t="inlineStr">
        <is>
          <t>LIDKÖPING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46316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39914-2026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46290</v>
      </c>
      <c r="E181" s="1" t="n">
        <v>46316</v>
      </c>
      <c r="F181" t="inlineStr">
        <is>
          <t>VÄSTRA GÖTALANDS LÄN</t>
        </is>
      </c>
      <c r="G181" t="inlineStr">
        <is>
          <t>LIDKÖPING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62551-2021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46316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56542-2024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45625</v>
      </c>
      <c r="E183" s="1" t="n">
        <v>46316</v>
      </c>
      <c r="F183" t="inlineStr">
        <is>
          <t>VÄSTRA GÖTALANDS LÄN</t>
        </is>
      </c>
      <c r="G183" t="inlineStr">
        <is>
          <t>LIDKÖPING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46316</v>
      </c>
      <c r="F184" t="inlineStr">
        <is>
          <t>VÄSTRA GÖTALANDS LÄN</t>
        </is>
      </c>
      <c r="G184" t="inlineStr">
        <is>
          <t>LIDKÖPING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45366</v>
      </c>
      <c r="E185" s="1" t="n">
        <v>46316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46316</v>
      </c>
      <c r="F186" t="inlineStr">
        <is>
          <t>VÄSTRA GÖTALANDS LÄN</t>
        </is>
      </c>
      <c r="G186" t="inlineStr">
        <is>
          <t>LIDKÖPING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46295</v>
      </c>
      <c r="E187" s="1" t="n">
        <v>46316</v>
      </c>
      <c r="F187" t="inlineStr">
        <is>
          <t>VÄSTRA GÖTALANDS LÄN</t>
        </is>
      </c>
      <c r="G187" t="inlineStr">
        <is>
          <t>LIDKÖPING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46316</v>
      </c>
      <c r="F188" t="inlineStr">
        <is>
          <t>VÄSTRA GÖTALANDS LÄN</t>
        </is>
      </c>
      <c r="G188" t="inlineStr">
        <is>
          <t>LIDKÖPING</t>
        </is>
      </c>
      <c r="I188" t="n">
        <v>17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33984-2026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46252</v>
      </c>
      <c r="E189" s="1" t="n">
        <v>46316</v>
      </c>
      <c r="F189" t="inlineStr">
        <is>
          <t>VÄSTRA GÖTALANDS LÄN</t>
        </is>
      </c>
      <c r="G189" t="inlineStr">
        <is>
          <t>LIDKÖPING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46316</v>
      </c>
      <c r="F190" t="inlineStr">
        <is>
          <t>VÄSTRA GÖTALANDS LÄN</t>
        </is>
      </c>
      <c r="G190" t="inlineStr">
        <is>
          <t>LIDKÖPING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46271</v>
      </c>
      <c r="E191" s="1" t="n">
        <v>46316</v>
      </c>
      <c r="F191" t="inlineStr">
        <is>
          <t>VÄSTRA GÖTALANDS LÄN</t>
        </is>
      </c>
      <c r="G191" t="inlineStr">
        <is>
          <t>LIDKÖPING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46316</v>
      </c>
      <c r="F192" t="inlineStr">
        <is>
          <t>VÄSTRA GÖTALANDS LÄN</t>
        </is>
      </c>
      <c r="G192" t="inlineStr">
        <is>
          <t>LIDKÖPING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46316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46316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46316</v>
      </c>
      <c r="F195" t="inlineStr">
        <is>
          <t>VÄSTRA GÖTALANDS LÄN</t>
        </is>
      </c>
      <c r="G195" t="inlineStr">
        <is>
          <t>LIDKÖPING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42028-2026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46304</v>
      </c>
      <c r="E196" s="1" t="n">
        <v>46316</v>
      </c>
      <c r="F196" t="inlineStr">
        <is>
          <t>VÄSTRA GÖTALANDS LÄN</t>
        </is>
      </c>
      <c r="G196" t="inlineStr">
        <is>
          <t>LIDKÖPING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46316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46316</v>
      </c>
      <c r="F198" t="inlineStr">
        <is>
          <t>VÄSTRA GÖTALANDS LÄN</t>
        </is>
      </c>
      <c r="G198" t="inlineStr">
        <is>
          <t>LIDKÖPING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46316</v>
      </c>
      <c r="F199" t="inlineStr">
        <is>
          <t>VÄSTRA GÖTALANDS LÄN</t>
        </is>
      </c>
      <c r="G199" t="inlineStr">
        <is>
          <t>LIDKÖPING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45478</v>
      </c>
      <c r="E200" s="1" t="n">
        <v>46316</v>
      </c>
      <c r="F200" t="inlineStr">
        <is>
          <t>VÄSTRA GÖTALANDS LÄN</t>
        </is>
      </c>
      <c r="G200" t="inlineStr">
        <is>
          <t>LIDKÖPING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46259</v>
      </c>
      <c r="E201" s="1" t="n">
        <v>46316</v>
      </c>
      <c r="F201" t="inlineStr">
        <is>
          <t>VÄSTRA GÖTALANDS LÄN</t>
        </is>
      </c>
      <c r="G201" t="inlineStr">
        <is>
          <t>LIDKÖPING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46259</v>
      </c>
      <c r="E202" s="1" t="n">
        <v>46316</v>
      </c>
      <c r="F202" t="inlineStr">
        <is>
          <t>VÄSTRA GÖTALANDS LÄN</t>
        </is>
      </c>
      <c r="G202" t="inlineStr">
        <is>
          <t>LIDKÖPING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46316</v>
      </c>
      <c r="F203" t="inlineStr">
        <is>
          <t>VÄSTRA GÖTALANDS LÄN</t>
        </is>
      </c>
      <c r="G203" t="inlineStr">
        <is>
          <t>LIDKÖPING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46316</v>
      </c>
      <c r="F204" t="inlineStr">
        <is>
          <t>VÄSTRA GÖTALANDS LÄN</t>
        </is>
      </c>
      <c r="G204" t="inlineStr">
        <is>
          <t>LIDKÖPING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46316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46316</v>
      </c>
      <c r="F206" t="inlineStr">
        <is>
          <t>VÄSTRA GÖTALANDS LÄN</t>
        </is>
      </c>
      <c r="G206" t="inlineStr">
        <is>
          <t>LIDKÖPING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46310</v>
      </c>
      <c r="E207" s="1" t="n">
        <v>46316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46316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46316</v>
      </c>
      <c r="F209" t="inlineStr">
        <is>
          <t>VÄSTRA GÖTALANDS LÄN</t>
        </is>
      </c>
      <c r="G209" t="inlineStr">
        <is>
          <t>LIDKÖPING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46310</v>
      </c>
      <c r="E210" s="1" t="n">
        <v>46316</v>
      </c>
      <c r="F210" t="inlineStr">
        <is>
          <t>VÄSTRA GÖTALANDS LÄN</t>
        </is>
      </c>
      <c r="G210" t="inlineStr">
        <is>
          <t>LIDKÖPING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46316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46316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46273</v>
      </c>
      <c r="E213" s="1" t="n">
        <v>46316</v>
      </c>
      <c r="F213" t="inlineStr">
        <is>
          <t>VÄSTRA GÖTALANDS LÄN</t>
        </is>
      </c>
      <c r="G213" t="inlineStr">
        <is>
          <t>LIDKÖPING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46272</v>
      </c>
      <c r="E214" s="1" t="n">
        <v>46316</v>
      </c>
      <c r="F214" t="inlineStr">
        <is>
          <t>VÄSTRA GÖTALANDS LÄN</t>
        </is>
      </c>
      <c r="G214" t="inlineStr">
        <is>
          <t>LIDKÖPING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46316</v>
      </c>
      <c r="F215" t="inlineStr">
        <is>
          <t>VÄSTRA GÖTALANDS LÄN</t>
        </is>
      </c>
      <c r="G215" t="inlineStr">
        <is>
          <t>LIDKÖPING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46316</v>
      </c>
      <c r="F216" t="inlineStr">
        <is>
          <t>VÄSTRA GÖTALANDS LÄN</t>
        </is>
      </c>
      <c r="G216" t="inlineStr">
        <is>
          <t>LIDKÖPING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45527</v>
      </c>
      <c r="E217" s="1" t="n">
        <v>46316</v>
      </c>
      <c r="F217" t="inlineStr">
        <is>
          <t>VÄSTRA GÖTALANDS LÄN</t>
        </is>
      </c>
      <c r="G217" t="inlineStr">
        <is>
          <t>LIDKÖPING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46316</v>
      </c>
      <c r="F218" t="inlineStr">
        <is>
          <t>VÄSTRA GÖTALANDS LÄN</t>
        </is>
      </c>
      <c r="G218" t="inlineStr">
        <is>
          <t>LIDKÖPING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44964</v>
      </c>
      <c r="E219" s="1" t="n">
        <v>46316</v>
      </c>
      <c r="F219" t="inlineStr">
        <is>
          <t>VÄSTRA GÖTALANDS LÄN</t>
        </is>
      </c>
      <c r="G219" t="inlineStr">
        <is>
          <t>LIDKÖPING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45426</v>
      </c>
      <c r="E220" s="1" t="n">
        <v>46316</v>
      </c>
      <c r="F220" t="inlineStr">
        <is>
          <t>VÄSTRA GÖTALANDS LÄN</t>
        </is>
      </c>
      <c r="G220" t="inlineStr">
        <is>
          <t>LIDKÖPING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46316</v>
      </c>
      <c r="F221" t="inlineStr">
        <is>
          <t>VÄSTRA GÖTALANDS LÄN</t>
        </is>
      </c>
      <c r="G221" t="inlineStr">
        <is>
          <t>LIDKÖPING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46316</v>
      </c>
      <c r="F222" t="inlineStr">
        <is>
          <t>VÄSTRA GÖTALANDS LÄN</t>
        </is>
      </c>
      <c r="G222" t="inlineStr">
        <is>
          <t>LIDKÖPING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45635</v>
      </c>
      <c r="E223" s="1" t="n">
        <v>46316</v>
      </c>
      <c r="F223" t="inlineStr">
        <is>
          <t>VÄSTRA GÖTALANDS LÄN</t>
        </is>
      </c>
      <c r="G223" t="inlineStr">
        <is>
          <t>LIDKÖPING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46316</v>
      </c>
      <c r="F224" t="inlineStr">
        <is>
          <t>VÄSTRA GÖTALANDS LÄN</t>
        </is>
      </c>
      <c r="G224" t="inlineStr">
        <is>
          <t>LIDKÖPING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46316</v>
      </c>
      <c r="F225" t="inlineStr">
        <is>
          <t>VÄSTRA GÖTALANDS LÄN</t>
        </is>
      </c>
      <c r="G225" t="inlineStr">
        <is>
          <t>LIDKÖPING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46316</v>
      </c>
      <c r="F226" t="inlineStr">
        <is>
          <t>VÄSTRA GÖTALANDS LÄN</t>
        </is>
      </c>
      <c r="G226" t="inlineStr">
        <is>
          <t>LIDKÖPING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3762-2024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45558</v>
      </c>
      <c r="E227" s="1" t="n">
        <v>46316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1807-2022</t>
        </is>
      </c>
      <c r="B228" t="inlineStr">
        <is>
          <t>samrådsanmälan</t>
        </is>
      </c>
      <c r="C228" t="inlineStr">
        <is>
          <t>Skogsbilväg</t>
        </is>
      </c>
      <c r="D228" s="1" t="n">
        <v>44656</v>
      </c>
      <c r="E228" s="1" t="n">
        <v>46316</v>
      </c>
      <c r="F228" t="inlineStr">
        <is>
          <t>VÄSTRA GÖTALANDS LÄN</t>
        </is>
      </c>
      <c r="G228" t="inlineStr">
        <is>
          <t>LIDKÖPING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46316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46316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46316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2026-10-21T02:05:54Z</dcterms:created>
  <dcterms:modified xmlns:dcterms="http://purl.org/dc/terms/" xmlns:xsi="http://www.w3.org/2001/XMLSchema-instance" xsi:type="dcterms:W3CDTF">2026-10-21T02:05:54Z</dcterms:modified>
</cp:coreProperties>
</file>