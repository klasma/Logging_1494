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46280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46280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46280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46280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46280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46280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32280-2022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44781</v>
      </c>
      <c r="E8" s="1" t="n">
        <v>46280</v>
      </c>
      <c r="F8" t="inlineStr">
        <is>
          <t>VÄSTRA GÖTALANDS LÄN</t>
        </is>
      </c>
      <c r="G8" t="inlineStr">
        <is>
          <t>LIDKÖPING</t>
        </is>
      </c>
      <c r="I8" t="n">
        <v>8.6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32280-2022 artfynd.xlsx", "A 32280-2022")</f>
        <v/>
      </c>
      <c r="X8">
        <f>HYPERLINK("https://klasma.github.io/Logging_1494/kartor/A 32280-2022 karta.png", "A 32280-2022")</f>
        <v/>
      </c>
      <c r="Y8">
        <f>HYPERLINK("https://klasma.github.io/Logging_1494/kartor_geotiff/A 32280-2022 georefererad karta.tif", "A 32280-2022")</f>
        <v/>
      </c>
      <c r="AA8">
        <f>HYPERLINK("https://klasma.github.io/Logging_1494/klagomål/A 32280-2022 FSC-klagomål.docx", "A 32280-2022")</f>
        <v/>
      </c>
      <c r="AB8">
        <f>HYPERLINK("https://klasma.github.io/Logging_1494/klagomålsmail/A 32280-2022 FSC-klagomål mail.docx", "A 32280-2022")</f>
        <v/>
      </c>
      <c r="AC8">
        <f>HYPERLINK("https://klasma.github.io/Logging_1494/tillsyn/A 32280-2022 tillsynsbegäran.docx", "A 32280-2022")</f>
        <v/>
      </c>
      <c r="AD8">
        <f>HYPERLINK("https://klasma.github.io/Logging_1494/tillsynsmail/A 32280-2022 tillsynsbegäran mail.docx", "A 32280-2022")</f>
        <v/>
      </c>
      <c r="AE8">
        <f>HYPERLINK("https://klasma.github.io/Logging_1494/fåglar/A 32280-2022 prioriterade fågelarter.docx", "A 32280-2022")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46280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46280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46280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46280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46280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46280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46280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46280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46280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44680-2023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46280</v>
      </c>
      <c r="F18" t="inlineStr">
        <is>
          <t>VÄSTRA GÖTALANDS LÄN</t>
        </is>
      </c>
      <c r="G18" t="inlineStr">
        <is>
          <t>LIDKÖPING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Trädlärka</t>
        </is>
      </c>
      <c r="W18">
        <f>HYPERLINK("https://klasma.github.io/Logging_1494/artfynd/A 44680-2023 artfynd.xlsx", "A 44680-2023")</f>
        <v/>
      </c>
      <c r="X18">
        <f>HYPERLINK("https://klasma.github.io/Logging_1494/kartor/A 44680-2023 karta.png", "A 44680-2023")</f>
        <v/>
      </c>
      <c r="Y18">
        <f>HYPERLINK("https://klasma.github.io/Logging_1494/kartor_geotiff/A 44680-2023 georefererad karta.tif", "A 44680-2023")</f>
        <v/>
      </c>
      <c r="AA18">
        <f>HYPERLINK("https://klasma.github.io/Logging_1494/klagomål/A 44680-2023 FSC-klagomål.docx", "A 44680-2023")</f>
        <v/>
      </c>
      <c r="AB18">
        <f>HYPERLINK("https://klasma.github.io/Logging_1494/klagomålsmail/A 44680-2023 FSC-klagomål mail.docx", "A 44680-2023")</f>
        <v/>
      </c>
      <c r="AC18">
        <f>HYPERLINK("https://klasma.github.io/Logging_1494/tillsyn/A 44680-2023 tillsynsbegäran.docx", "A 44680-2023")</f>
        <v/>
      </c>
      <c r="AD18">
        <f>HYPERLINK("https://klasma.github.io/Logging_1494/tillsynsmail/A 44680-2023 tillsynsbegäran mail.docx", "A 44680-2023")</f>
        <v/>
      </c>
      <c r="AE18">
        <f>HYPERLINK("https://klasma.github.io/Logging_1494/fåglar/A 44680-2023 prioriterade fågelarter.docx", "A 44680-2023")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46280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62569-2022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44924</v>
      </c>
      <c r="E20" s="1" t="n">
        <v>46280</v>
      </c>
      <c r="F20" t="inlineStr">
        <is>
          <t>VÄSTRA GÖTALANDS LÄN</t>
        </is>
      </c>
      <c r="G20" t="inlineStr">
        <is>
          <t>LIDKÖPING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Skogsalm</t>
        </is>
      </c>
      <c r="W20">
        <f>HYPERLINK("https://klasma.github.io/Logging_1494/artfynd/A 62569-2022 artfynd.xlsx", "A 62569-2022")</f>
        <v/>
      </c>
      <c r="X20">
        <f>HYPERLINK("https://klasma.github.io/Logging_1494/kartor/A 62569-2022 karta.png", "A 62569-2022")</f>
        <v/>
      </c>
      <c r="Y20">
        <f>HYPERLINK("https://klasma.github.io/Logging_1494/kartor_geotiff/A 62569-2022 georefererad karta.tif", "A 62569-2022")</f>
        <v/>
      </c>
      <c r="AA20">
        <f>HYPERLINK("https://klasma.github.io/Logging_1494/klagomål/A 62569-2022 FSC-klagomål.docx", "A 62569-2022")</f>
        <v/>
      </c>
      <c r="AB20">
        <f>HYPERLINK("https://klasma.github.io/Logging_1494/klagomålsmail/A 62569-2022 FSC-klagomål mail.docx", "A 62569-2022")</f>
        <v/>
      </c>
      <c r="AC20">
        <f>HYPERLINK("https://klasma.github.io/Logging_1494/tillsyn/A 62569-2022 tillsynsbegäran.docx", "A 62569-2022")</f>
        <v/>
      </c>
      <c r="AD20">
        <f>HYPERLINK("https://klasma.github.io/Logging_1494/tillsynsmail/A 62569-2022 tillsynsbegäran mail.docx", "A 62569-2022")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46280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46280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46280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46280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46280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46280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46280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46280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46280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46280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46280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46280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46280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46280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46280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46280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46280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46280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46280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46280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46280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46280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46280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46280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46280</v>
      </c>
      <c r="F45" t="inlineStr">
        <is>
          <t>VÄSTRA GÖTALANDS LÄN</t>
        </is>
      </c>
      <c r="G45" t="inlineStr">
        <is>
          <t>LIDKÖPING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46280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46280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46280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24356-2025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45797</v>
      </c>
      <c r="E49" s="1" t="n">
        <v>46280</v>
      </c>
      <c r="F49" t="inlineStr">
        <is>
          <t>VÄSTRA GÖTALANDS LÄN</t>
        </is>
      </c>
      <c r="G49" t="inlineStr">
        <is>
          <t>LIDKÖPING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53275-2023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45229</v>
      </c>
      <c r="E50" s="1" t="n">
        <v>46280</v>
      </c>
      <c r="F50" t="inlineStr">
        <is>
          <t>VÄSTRA GÖTALANDS LÄN</t>
        </is>
      </c>
      <c r="G50" t="inlineStr">
        <is>
          <t>LIDKÖPING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48411-2022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46280</v>
      </c>
      <c r="F51" t="inlineStr">
        <is>
          <t>VÄSTRA GÖTALANDS LÄN</t>
        </is>
      </c>
      <c r="G51" t="inlineStr">
        <is>
          <t>LIDKÖPING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45572</v>
      </c>
      <c r="E52" s="1" t="n">
        <v>46280</v>
      </c>
      <c r="F52" t="inlineStr">
        <is>
          <t>VÄSTRA GÖTALANDS LÄN</t>
        </is>
      </c>
      <c r="G52" t="inlineStr">
        <is>
          <t>LIDKÖPING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11563-2025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45727</v>
      </c>
      <c r="E53" s="1" t="n">
        <v>46280</v>
      </c>
      <c r="F53" t="inlineStr">
        <is>
          <t>VÄSTRA GÖTALANDS LÄN</t>
        </is>
      </c>
      <c r="G53" t="inlineStr">
        <is>
          <t>LIDKÖPING</t>
        </is>
      </c>
      <c r="H53" t="inlineStr">
        <is>
          <t>Kommuner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19840-2025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45771</v>
      </c>
      <c r="E54" s="1" t="n">
        <v>46280</v>
      </c>
      <c r="F54" t="inlineStr">
        <is>
          <t>VÄSTRA GÖTALANDS LÄN</t>
        </is>
      </c>
      <c r="G54" t="inlineStr">
        <is>
          <t>LIDKÖPING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58420-2023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45250</v>
      </c>
      <c r="E55" s="1" t="n">
        <v>46280</v>
      </c>
      <c r="F55" t="inlineStr">
        <is>
          <t>VÄSTRA GÖTALANDS LÄN</t>
        </is>
      </c>
      <c r="G55" t="inlineStr">
        <is>
          <t>LIDKÖPING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46280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45758</v>
      </c>
      <c r="E57" s="1" t="n">
        <v>46280</v>
      </c>
      <c r="F57" t="inlineStr">
        <is>
          <t>VÄSTRA GÖTALANDS LÄN</t>
        </is>
      </c>
      <c r="G57" t="inlineStr">
        <is>
          <t>LIDKÖPING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45375</v>
      </c>
      <c r="E58" s="1" t="n">
        <v>46280</v>
      </c>
      <c r="F58" t="inlineStr">
        <is>
          <t>VÄSTRA GÖTALANDS LÄN</t>
        </is>
      </c>
      <c r="G58" t="inlineStr">
        <is>
          <t>LIDKÖPING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45824</v>
      </c>
      <c r="E59" s="1" t="n">
        <v>46280</v>
      </c>
      <c r="F59" t="inlineStr">
        <is>
          <t>VÄSTRA GÖTALANDS LÄN</t>
        </is>
      </c>
      <c r="G59" t="inlineStr">
        <is>
          <t>LIDKÖPING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45623</v>
      </c>
      <c r="E60" s="1" t="n">
        <v>46280</v>
      </c>
      <c r="F60" t="inlineStr">
        <is>
          <t>VÄSTRA GÖTALANDS LÄN</t>
        </is>
      </c>
      <c r="G60" t="inlineStr">
        <is>
          <t>LIDKÖPING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46280</v>
      </c>
      <c r="F61" t="inlineStr">
        <is>
          <t>VÄSTRA GÖTALANDS LÄN</t>
        </is>
      </c>
      <c r="G61" t="inlineStr">
        <is>
          <t>LIDKÖPING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46280</v>
      </c>
      <c r="F62" t="inlineStr">
        <is>
          <t>VÄSTRA GÖTALANDS LÄN</t>
        </is>
      </c>
      <c r="G62" t="inlineStr">
        <is>
          <t>LIDKÖPING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46050</v>
      </c>
      <c r="E63" s="1" t="n">
        <v>46280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Kyrkan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46280</v>
      </c>
      <c r="F64" t="inlineStr">
        <is>
          <t>VÄSTRA GÖTALANDS LÄN</t>
        </is>
      </c>
      <c r="G64" t="inlineStr">
        <is>
          <t>LIDKÖPING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44819</v>
      </c>
      <c r="E65" s="1" t="n">
        <v>46280</v>
      </c>
      <c r="F65" t="inlineStr">
        <is>
          <t>VÄSTRA GÖTALANDS LÄN</t>
        </is>
      </c>
      <c r="G65" t="inlineStr">
        <is>
          <t>LIDKÖPING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45837</v>
      </c>
      <c r="E66" s="1" t="n">
        <v>46280</v>
      </c>
      <c r="F66" t="inlineStr">
        <is>
          <t>VÄSTRA GÖTALANDS LÄN</t>
        </is>
      </c>
      <c r="G66" t="inlineStr">
        <is>
          <t>LIDKÖPING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45252</v>
      </c>
      <c r="E67" s="1" t="n">
        <v>46280</v>
      </c>
      <c r="F67" t="inlineStr">
        <is>
          <t>VÄSTRA GÖTALANDS LÄN</t>
        </is>
      </c>
      <c r="G67" t="inlineStr">
        <is>
          <t>LIDKÖPING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46280</v>
      </c>
      <c r="F68" t="inlineStr">
        <is>
          <t>VÄSTRA GÖTALANDS LÄN</t>
        </is>
      </c>
      <c r="G68" t="inlineStr">
        <is>
          <t>LIDKÖPING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46280</v>
      </c>
      <c r="F69" t="inlineStr">
        <is>
          <t>VÄSTRA GÖTALANDS LÄN</t>
        </is>
      </c>
      <c r="G69" t="inlineStr">
        <is>
          <t>LIDKÖPING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63778-2023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45278</v>
      </c>
      <c r="E70" s="1" t="n">
        <v>46280</v>
      </c>
      <c r="F70" t="inlineStr">
        <is>
          <t>VÄSTRA GÖTALANDS LÄN</t>
        </is>
      </c>
      <c r="G70" t="inlineStr">
        <is>
          <t>LIDKÖPING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53279-2023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45229</v>
      </c>
      <c r="E71" s="1" t="n">
        <v>46280</v>
      </c>
      <c r="F71" t="inlineStr">
        <is>
          <t>VÄSTRA GÖTALANDS LÄN</t>
        </is>
      </c>
      <c r="G71" t="inlineStr">
        <is>
          <t>LIDKÖPING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46061</v>
      </c>
      <c r="E72" s="1" t="n">
        <v>46280</v>
      </c>
      <c r="F72" t="inlineStr">
        <is>
          <t>VÄSTRA GÖTALANDS LÄN</t>
        </is>
      </c>
      <c r="G72" t="inlineStr">
        <is>
          <t>LIDKÖPING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46280</v>
      </c>
      <c r="F73" t="inlineStr">
        <is>
          <t>VÄSTRA GÖTALANDS LÄN</t>
        </is>
      </c>
      <c r="G73" t="inlineStr">
        <is>
          <t>LIDKÖPING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44902</v>
      </c>
      <c r="E74" s="1" t="n">
        <v>46280</v>
      </c>
      <c r="F74" t="inlineStr">
        <is>
          <t>VÄSTRA GÖTALANDS LÄN</t>
        </is>
      </c>
      <c r="G74" t="inlineStr">
        <is>
          <t>LIDKÖPING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46280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45670</v>
      </c>
      <c r="E76" s="1" t="n">
        <v>46280</v>
      </c>
      <c r="F76" t="inlineStr">
        <is>
          <t>VÄSTRA GÖTALANDS LÄN</t>
        </is>
      </c>
      <c r="G76" t="inlineStr">
        <is>
          <t>LIDKÖPING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44806</v>
      </c>
      <c r="E77" s="1" t="n">
        <v>46280</v>
      </c>
      <c r="F77" t="inlineStr">
        <is>
          <t>VÄSTRA GÖTALANDS LÄN</t>
        </is>
      </c>
      <c r="G77" t="inlineStr">
        <is>
          <t>LIDKÖPING</t>
        </is>
      </c>
      <c r="I77" t="n">
        <v>17.4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46280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46280</v>
      </c>
      <c r="F79" t="inlineStr">
        <is>
          <t>VÄSTRA GÖTALANDS LÄN</t>
        </is>
      </c>
      <c r="G79" t="inlineStr">
        <is>
          <t>LIDKÖPING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45702</v>
      </c>
      <c r="E80" s="1" t="n">
        <v>46280</v>
      </c>
      <c r="F80" t="inlineStr">
        <is>
          <t>VÄSTRA GÖTALANDS LÄN</t>
        </is>
      </c>
      <c r="G80" t="inlineStr">
        <is>
          <t>LIDKÖPING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46280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46280</v>
      </c>
      <c r="F82" t="inlineStr">
        <is>
          <t>VÄSTRA GÖTALANDS LÄN</t>
        </is>
      </c>
      <c r="G82" t="inlineStr">
        <is>
          <t>LIDKÖPING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37195-2025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45875</v>
      </c>
      <c r="E83" s="1" t="n">
        <v>46280</v>
      </c>
      <c r="F83" t="inlineStr">
        <is>
          <t>VÄSTRA GÖTALANDS LÄN</t>
        </is>
      </c>
      <c r="G83" t="inlineStr">
        <is>
          <t>LIDKÖPING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59068-2023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45252</v>
      </c>
      <c r="E84" s="1" t="n">
        <v>46280</v>
      </c>
      <c r="F84" t="inlineStr">
        <is>
          <t>VÄSTRA GÖTALANDS LÄN</t>
        </is>
      </c>
      <c r="G84" t="inlineStr">
        <is>
          <t>LIDKÖPING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46280</v>
      </c>
      <c r="F85" t="inlineStr">
        <is>
          <t>VÄSTRA GÖTALANDS LÄN</t>
        </is>
      </c>
      <c r="G85" t="inlineStr">
        <is>
          <t>LIDKÖPING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45601</v>
      </c>
      <c r="E86" s="1" t="n">
        <v>46280</v>
      </c>
      <c r="F86" t="inlineStr">
        <is>
          <t>VÄSTRA GÖTALANDS LÄN</t>
        </is>
      </c>
      <c r="G86" t="inlineStr">
        <is>
          <t>LIDKÖPING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25762-2023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45090</v>
      </c>
      <c r="E87" s="1" t="n">
        <v>46280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45125</v>
      </c>
      <c r="E88" s="1" t="n">
        <v>46280</v>
      </c>
      <c r="F88" t="inlineStr">
        <is>
          <t>VÄSTRA GÖTALANDS LÄN</t>
        </is>
      </c>
      <c r="G88" t="inlineStr">
        <is>
          <t>LIDKÖPING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46280</v>
      </c>
      <c r="F89" t="inlineStr">
        <is>
          <t>VÄSTRA GÖTALANDS LÄN</t>
        </is>
      </c>
      <c r="G89" t="inlineStr">
        <is>
          <t>LIDKÖPING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46280</v>
      </c>
      <c r="F90" t="inlineStr">
        <is>
          <t>VÄSTRA GÖTALANDS LÄN</t>
        </is>
      </c>
      <c r="G90" t="inlineStr">
        <is>
          <t>LIDKÖPING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46280</v>
      </c>
      <c r="F91" t="inlineStr">
        <is>
          <t>VÄSTRA GÖTALANDS LÄN</t>
        </is>
      </c>
      <c r="G91" t="inlineStr">
        <is>
          <t>LIDKÖPING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46280</v>
      </c>
      <c r="F92" t="inlineStr">
        <is>
          <t>VÄSTRA GÖTALANDS LÄN</t>
        </is>
      </c>
      <c r="G92" t="inlineStr">
        <is>
          <t>LIDKÖPING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46280</v>
      </c>
      <c r="F93" t="inlineStr">
        <is>
          <t>VÄSTRA GÖTALANDS LÄN</t>
        </is>
      </c>
      <c r="G93" t="inlineStr">
        <is>
          <t>LIDKÖPING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43445-2023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46280</v>
      </c>
      <c r="F94" t="inlineStr">
        <is>
          <t>VÄSTRA GÖTALANDS LÄN</t>
        </is>
      </c>
      <c r="G94" t="inlineStr">
        <is>
          <t>LIDKÖPING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46280</v>
      </c>
      <c r="F95" t="inlineStr">
        <is>
          <t>VÄSTRA GÖTALANDS LÄN</t>
        </is>
      </c>
      <c r="G95" t="inlineStr">
        <is>
          <t>LIDKÖPING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46120</v>
      </c>
      <c r="E96" s="1" t="n">
        <v>46280</v>
      </c>
      <c r="F96" t="inlineStr">
        <is>
          <t>VÄSTRA GÖTALANDS LÄN</t>
        </is>
      </c>
      <c r="G96" t="inlineStr">
        <is>
          <t>LIDKÖPING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46280</v>
      </c>
      <c r="F97" t="inlineStr">
        <is>
          <t>VÄSTRA GÖTALANDS LÄN</t>
        </is>
      </c>
      <c r="G97" t="inlineStr">
        <is>
          <t>LIDKÖPING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46120</v>
      </c>
      <c r="E98" s="1" t="n">
        <v>46280</v>
      </c>
      <c r="F98" t="inlineStr">
        <is>
          <t>VÄSTRA GÖTALANDS LÄN</t>
        </is>
      </c>
      <c r="G98" t="inlineStr">
        <is>
          <t>LIDKÖPING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17524-2026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46119</v>
      </c>
      <c r="E99" s="1" t="n">
        <v>46280</v>
      </c>
      <c r="F99" t="inlineStr">
        <is>
          <t>VÄSTRA GÖTALANDS LÄN</t>
        </is>
      </c>
      <c r="G99" t="inlineStr">
        <is>
          <t>LIDKÖPING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17958-2026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46122</v>
      </c>
      <c r="E100" s="1" t="n">
        <v>46280</v>
      </c>
      <c r="F100" t="inlineStr">
        <is>
          <t>VÄSTRA GÖTALANDS LÄN</t>
        </is>
      </c>
      <c r="G100" t="inlineStr">
        <is>
          <t>LIDKÖPING</t>
        </is>
      </c>
      <c r="H100" t="inlineStr">
        <is>
          <t>Kommuner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45155</v>
      </c>
      <c r="E101" s="1" t="n">
        <v>46280</v>
      </c>
      <c r="F101" t="inlineStr">
        <is>
          <t>VÄSTRA GÖTALANDS LÄN</t>
        </is>
      </c>
      <c r="G101" t="inlineStr">
        <is>
          <t>LIDKÖPING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46280</v>
      </c>
      <c r="F102" t="inlineStr">
        <is>
          <t>VÄSTRA GÖTALANDS LÄN</t>
        </is>
      </c>
      <c r="G102" t="inlineStr">
        <is>
          <t>LIDKÖPING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18979-2026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46280</v>
      </c>
      <c r="F103" t="inlineStr">
        <is>
          <t>VÄSTRA GÖTALANDS LÄN</t>
        </is>
      </c>
      <c r="G103" t="inlineStr">
        <is>
          <t>LIDKÖPING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45943</v>
      </c>
      <c r="E104" s="1" t="n">
        <v>46280</v>
      </c>
      <c r="F104" t="inlineStr">
        <is>
          <t>VÄSTRA GÖTALANDS LÄN</t>
        </is>
      </c>
      <c r="G104" t="inlineStr">
        <is>
          <t>LIDKÖPING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46280</v>
      </c>
      <c r="F105" t="inlineStr">
        <is>
          <t>VÄSTRA GÖTALANDS LÄN</t>
        </is>
      </c>
      <c r="G105" t="inlineStr">
        <is>
          <t>LIDKÖPING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46280</v>
      </c>
      <c r="F106" t="inlineStr">
        <is>
          <t>VÄSTRA GÖTALANDS LÄN</t>
        </is>
      </c>
      <c r="G106" t="inlineStr">
        <is>
          <t>LIDKÖPING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44967</v>
      </c>
      <c r="E107" s="1" t="n">
        <v>46280</v>
      </c>
      <c r="F107" t="inlineStr">
        <is>
          <t>VÄSTRA GÖTALANDS LÄN</t>
        </is>
      </c>
      <c r="G107" t="inlineStr">
        <is>
          <t>LIDKÖPING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46280</v>
      </c>
      <c r="F108" t="inlineStr">
        <is>
          <t>VÄSTRA GÖTALANDS LÄN</t>
        </is>
      </c>
      <c r="G108" t="inlineStr">
        <is>
          <t>LIDKÖPING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46280</v>
      </c>
      <c r="F109" t="inlineStr">
        <is>
          <t>VÄSTRA GÖTALANDS LÄN</t>
        </is>
      </c>
      <c r="G109" t="inlineStr">
        <is>
          <t>LIDKÖPING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44767</v>
      </c>
      <c r="E110" s="1" t="n">
        <v>46280</v>
      </c>
      <c r="F110" t="inlineStr">
        <is>
          <t>VÄSTRA GÖTALANDS LÄN</t>
        </is>
      </c>
      <c r="G110" t="inlineStr">
        <is>
          <t>LIDKÖPING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46280</v>
      </c>
      <c r="F111" t="inlineStr">
        <is>
          <t>VÄSTRA GÖTALANDS LÄN</t>
        </is>
      </c>
      <c r="G111" t="inlineStr">
        <is>
          <t>LIDKÖPING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46280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46280</v>
      </c>
      <c r="F113" t="inlineStr">
        <is>
          <t>VÄSTRA GÖTALANDS LÄN</t>
        </is>
      </c>
      <c r="G113" t="inlineStr">
        <is>
          <t>LIDKÖPING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46280</v>
      </c>
      <c r="F114" t="inlineStr">
        <is>
          <t>VÄSTRA GÖTALANDS LÄN</t>
        </is>
      </c>
      <c r="G114" t="inlineStr">
        <is>
          <t>LIDKÖPING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45660</v>
      </c>
      <c r="E115" s="1" t="n">
        <v>46280</v>
      </c>
      <c r="F115" t="inlineStr">
        <is>
          <t>VÄSTRA GÖTALANDS LÄN</t>
        </is>
      </c>
      <c r="G115" t="inlineStr">
        <is>
          <t>LIDKÖPING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21017-2026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46144</v>
      </c>
      <c r="E116" s="1" t="n">
        <v>46280</v>
      </c>
      <c r="F116" t="inlineStr">
        <is>
          <t>VÄSTRA GÖTALANDS LÄN</t>
        </is>
      </c>
      <c r="G116" t="inlineStr">
        <is>
          <t>LIDKÖPING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46280</v>
      </c>
      <c r="F117" t="inlineStr">
        <is>
          <t>VÄSTRA GÖTALANDS LÄN</t>
        </is>
      </c>
      <c r="G117" t="inlineStr">
        <is>
          <t>LIDKÖPING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46280</v>
      </c>
      <c r="F118" t="inlineStr">
        <is>
          <t>VÄSTRA GÖTALANDS LÄN</t>
        </is>
      </c>
      <c r="G118" t="inlineStr">
        <is>
          <t>LIDKÖPING</t>
        </is>
      </c>
      <c r="H118" t="inlineStr">
        <is>
          <t>Kyrkan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46280</v>
      </c>
      <c r="F119" t="inlineStr">
        <is>
          <t>VÄSTRA GÖTALANDS LÄN</t>
        </is>
      </c>
      <c r="G119" t="inlineStr">
        <is>
          <t>LIDKÖPING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62527-2021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46280</v>
      </c>
      <c r="F120" t="inlineStr">
        <is>
          <t>VÄSTRA GÖTALANDS LÄN</t>
        </is>
      </c>
      <c r="G120" t="inlineStr">
        <is>
          <t>LIDKÖPING</t>
        </is>
      </c>
      <c r="I120" t="n">
        <v>22.6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46280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46069</v>
      </c>
      <c r="E122" s="1" t="n">
        <v>46280</v>
      </c>
      <c r="F122" t="inlineStr">
        <is>
          <t>VÄSTRA GÖTALANDS LÄN</t>
        </is>
      </c>
      <c r="G122" t="inlineStr">
        <is>
          <t>LIDKÖPING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46280</v>
      </c>
      <c r="F123" t="inlineStr">
        <is>
          <t>VÄSTRA GÖTALANDS LÄN</t>
        </is>
      </c>
      <c r="G123" t="inlineStr">
        <is>
          <t>LIDKÖPING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46280</v>
      </c>
      <c r="F124" t="inlineStr">
        <is>
          <t>VÄSTRA GÖTALANDS LÄN</t>
        </is>
      </c>
      <c r="G124" t="inlineStr">
        <is>
          <t>LIDKÖPING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46171</v>
      </c>
      <c r="E125" s="1" t="n">
        <v>46280</v>
      </c>
      <c r="F125" t="inlineStr">
        <is>
          <t>VÄSTRA GÖTALANDS LÄN</t>
        </is>
      </c>
      <c r="G125" t="inlineStr">
        <is>
          <t>LIDKÖPING</t>
        </is>
      </c>
      <c r="H125" t="inlineStr">
        <is>
          <t>Kyrkan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33654-2022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46280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45529</v>
      </c>
      <c r="E127" s="1" t="n">
        <v>46280</v>
      </c>
      <c r="F127" t="inlineStr">
        <is>
          <t>VÄSTRA GÖTALANDS LÄN</t>
        </is>
      </c>
      <c r="G127" t="inlineStr">
        <is>
          <t>LIDKÖPING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25814-2026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46178</v>
      </c>
      <c r="E128" s="1" t="n">
        <v>46280</v>
      </c>
      <c r="F128" t="inlineStr">
        <is>
          <t>VÄSTRA GÖTALANDS LÄN</t>
        </is>
      </c>
      <c r="G128" t="inlineStr">
        <is>
          <t>LIDKÖPING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46280</v>
      </c>
      <c r="F129" t="inlineStr">
        <is>
          <t>VÄSTRA GÖTALANDS LÄN</t>
        </is>
      </c>
      <c r="G129" t="inlineStr">
        <is>
          <t>LIDKÖPING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46190</v>
      </c>
      <c r="E130" s="1" t="n">
        <v>46280</v>
      </c>
      <c r="F130" t="inlineStr">
        <is>
          <t>VÄSTRA GÖTALANDS LÄN</t>
        </is>
      </c>
      <c r="G130" t="inlineStr">
        <is>
          <t>LIDKÖPING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46239</v>
      </c>
      <c r="E131" s="1" t="n">
        <v>46280</v>
      </c>
      <c r="F131" t="inlineStr">
        <is>
          <t>VÄSTRA GÖTALANDS LÄN</t>
        </is>
      </c>
      <c r="G131" t="inlineStr">
        <is>
          <t>LIDKÖPING</t>
        </is>
      </c>
      <c r="H131" t="inlineStr">
        <is>
          <t>Kyrkan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46239</v>
      </c>
      <c r="E132" s="1" t="n">
        <v>46280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46280</v>
      </c>
      <c r="F133" t="inlineStr">
        <is>
          <t>VÄSTRA GÖTALANDS LÄN</t>
        </is>
      </c>
      <c r="G133" t="inlineStr">
        <is>
          <t>LIDKÖPING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46280</v>
      </c>
      <c r="F134" t="inlineStr">
        <is>
          <t>VÄSTRA GÖTALANDS LÄN</t>
        </is>
      </c>
      <c r="G134" t="inlineStr">
        <is>
          <t>LIDKÖPING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28309-2026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46196</v>
      </c>
      <c r="E135" s="1" t="n">
        <v>46280</v>
      </c>
      <c r="F135" t="inlineStr">
        <is>
          <t>VÄSTRA GÖTALANDS LÄN</t>
        </is>
      </c>
      <c r="G135" t="inlineStr">
        <is>
          <t>LIDKÖPING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46239</v>
      </c>
      <c r="E136" s="1" t="n">
        <v>46280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Kyrkan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45432</v>
      </c>
      <c r="E137" s="1" t="n">
        <v>46280</v>
      </c>
      <c r="F137" t="inlineStr">
        <is>
          <t>VÄSTRA GÖTALANDS LÄN</t>
        </is>
      </c>
      <c r="G137" t="inlineStr">
        <is>
          <t>LIDKÖPING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46280</v>
      </c>
      <c r="F138" t="inlineStr">
        <is>
          <t>VÄSTRA GÖTALANDS LÄN</t>
        </is>
      </c>
      <c r="G138" t="inlineStr">
        <is>
          <t>LIDKÖPING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32923-2026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46280</v>
      </c>
      <c r="F139" t="inlineStr">
        <is>
          <t>VÄSTRA GÖTALANDS LÄN</t>
        </is>
      </c>
      <c r="G139" t="inlineStr">
        <is>
          <t>LIDKÖPING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45672</v>
      </c>
      <c r="E140" s="1" t="n">
        <v>46280</v>
      </c>
      <c r="F140" t="inlineStr">
        <is>
          <t>VÄSTRA GÖTALANDS LÄN</t>
        </is>
      </c>
      <c r="G140" t="inlineStr">
        <is>
          <t>LIDKÖPING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45665</v>
      </c>
      <c r="E141" s="1" t="n">
        <v>46280</v>
      </c>
      <c r="F141" t="inlineStr">
        <is>
          <t>VÄSTRA GÖTALANDS LÄN</t>
        </is>
      </c>
      <c r="G141" t="inlineStr">
        <is>
          <t>LIDKÖPING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45141</v>
      </c>
      <c r="E142" s="1" t="n">
        <v>46280</v>
      </c>
      <c r="F142" t="inlineStr">
        <is>
          <t>VÄSTRA GÖTALANDS LÄN</t>
        </is>
      </c>
      <c r="G142" t="inlineStr">
        <is>
          <t>LIDKÖPING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46280</v>
      </c>
      <c r="F143" t="inlineStr">
        <is>
          <t>VÄSTRA GÖTALANDS LÄN</t>
        </is>
      </c>
      <c r="G143" t="inlineStr">
        <is>
          <t>LIDKÖPING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33984-2026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46252</v>
      </c>
      <c r="E144" s="1" t="n">
        <v>46280</v>
      </c>
      <c r="F144" t="inlineStr">
        <is>
          <t>VÄSTRA GÖTALANDS LÄN</t>
        </is>
      </c>
      <c r="G144" t="inlineStr">
        <is>
          <t>LIDKÖPING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36835-2024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46280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Kommuner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46253</v>
      </c>
      <c r="E146" s="1" t="n">
        <v>46280</v>
      </c>
      <c r="F146" t="inlineStr">
        <is>
          <t>VÄSTRA GÖTALANDS LÄN</t>
        </is>
      </c>
      <c r="G146" t="inlineStr">
        <is>
          <t>LIDKÖPING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58393-2022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44901</v>
      </c>
      <c r="E147" s="1" t="n">
        <v>46280</v>
      </c>
      <c r="F147" t="inlineStr">
        <is>
          <t>VÄSTRA GÖTALANDS LÄN</t>
        </is>
      </c>
      <c r="G147" t="inlineStr">
        <is>
          <t>LIDKÖPING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44945</v>
      </c>
      <c r="E148" s="1" t="n">
        <v>46280</v>
      </c>
      <c r="F148" t="inlineStr">
        <is>
          <t>VÄSTRA GÖTALANDS LÄN</t>
        </is>
      </c>
      <c r="G148" t="inlineStr">
        <is>
          <t>LIDKÖPING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11949-2023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44994</v>
      </c>
      <c r="E149" s="1" t="n">
        <v>46280</v>
      </c>
      <c r="F149" t="inlineStr">
        <is>
          <t>VÄSTRA GÖTALANDS LÄN</t>
        </is>
      </c>
      <c r="G149" t="inlineStr">
        <is>
          <t>LIDKÖPING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45233</v>
      </c>
      <c r="E150" s="1" t="n">
        <v>46280</v>
      </c>
      <c r="F150" t="inlineStr">
        <is>
          <t>VÄSTRA GÖTALANDS LÄN</t>
        </is>
      </c>
      <c r="G150" t="inlineStr">
        <is>
          <t>LIDKÖPING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46280</v>
      </c>
      <c r="F151" t="inlineStr">
        <is>
          <t>VÄSTRA GÖTALANDS LÄN</t>
        </is>
      </c>
      <c r="G151" t="inlineStr">
        <is>
          <t>LIDKÖPING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46280</v>
      </c>
      <c r="F152" t="inlineStr">
        <is>
          <t>VÄSTRA GÖTALANDS LÄN</t>
        </is>
      </c>
      <c r="G152" t="inlineStr">
        <is>
          <t>LIDKÖPING</t>
        </is>
      </c>
      <c r="H152" t="inlineStr">
        <is>
          <t>Kommuner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45623</v>
      </c>
      <c r="E153" s="1" t="n">
        <v>46280</v>
      </c>
      <c r="F153" t="inlineStr">
        <is>
          <t>VÄSTRA GÖTALANDS LÄN</t>
        </is>
      </c>
      <c r="G153" t="inlineStr">
        <is>
          <t>LIDKÖPING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45527</v>
      </c>
      <c r="E154" s="1" t="n">
        <v>46280</v>
      </c>
      <c r="F154" t="inlineStr">
        <is>
          <t>VÄSTRA GÖTALANDS LÄN</t>
        </is>
      </c>
      <c r="G154" t="inlineStr">
        <is>
          <t>LIDKÖPING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45462</v>
      </c>
      <c r="E155" s="1" t="n">
        <v>46280</v>
      </c>
      <c r="F155" t="inlineStr">
        <is>
          <t>VÄSTRA GÖTALANDS LÄN</t>
        </is>
      </c>
      <c r="G155" t="inlineStr">
        <is>
          <t>LIDKÖPING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46273</v>
      </c>
      <c r="E156" s="1" t="n">
        <v>46280</v>
      </c>
      <c r="F156" t="inlineStr">
        <is>
          <t>VÄSTRA GÖTALANDS LÄN</t>
        </is>
      </c>
      <c r="G156" t="inlineStr">
        <is>
          <t>LIDKÖPING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46280</v>
      </c>
      <c r="F157" t="inlineStr">
        <is>
          <t>VÄSTRA GÖTALANDS LÄN</t>
        </is>
      </c>
      <c r="G157" t="inlineStr">
        <is>
          <t>LIDKÖPING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46230</v>
      </c>
      <c r="E158" s="1" t="n">
        <v>46280</v>
      </c>
      <c r="F158" t="inlineStr">
        <is>
          <t>VÄSTRA GÖTALANDS LÄN</t>
        </is>
      </c>
      <c r="G158" t="inlineStr">
        <is>
          <t>LIDKÖPING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46259</v>
      </c>
      <c r="E159" s="1" t="n">
        <v>46280</v>
      </c>
      <c r="F159" t="inlineStr">
        <is>
          <t>VÄSTRA GÖTALANDS LÄN</t>
        </is>
      </c>
      <c r="G159" t="inlineStr">
        <is>
          <t>LIDKÖPING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46259</v>
      </c>
      <c r="E160" s="1" t="n">
        <v>46280</v>
      </c>
      <c r="F160" t="inlineStr">
        <is>
          <t>VÄSTRA GÖTALANDS LÄN</t>
        </is>
      </c>
      <c r="G160" t="inlineStr">
        <is>
          <t>LIDKÖPING</t>
        </is>
      </c>
      <c r="I160" t="n">
        <v>9.300000000000001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46280</v>
      </c>
      <c r="F161" t="inlineStr">
        <is>
          <t>VÄSTRA GÖTALANDS LÄN</t>
        </is>
      </c>
      <c r="G161" t="inlineStr">
        <is>
          <t>LIDKÖPING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46280</v>
      </c>
      <c r="F162" t="inlineStr">
        <is>
          <t>VÄSTRA GÖTALANDS LÄN</t>
        </is>
      </c>
      <c r="G162" t="inlineStr">
        <is>
          <t>LIDKÖPING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46280</v>
      </c>
      <c r="F163" t="inlineStr">
        <is>
          <t>VÄSTRA GÖTALANDS LÄN</t>
        </is>
      </c>
      <c r="G163" t="inlineStr">
        <is>
          <t>LIDKÖPING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31596-2024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46280</v>
      </c>
      <c r="F164" t="inlineStr">
        <is>
          <t>VÄSTRA GÖTALANDS LÄN</t>
        </is>
      </c>
      <c r="G164" t="inlineStr">
        <is>
          <t>LIDKÖPING</t>
        </is>
      </c>
      <c r="H164" t="inlineStr">
        <is>
          <t>Kommuner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46231</v>
      </c>
      <c r="E165" s="1" t="n">
        <v>46280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45226</v>
      </c>
      <c r="E166" s="1" t="n">
        <v>46280</v>
      </c>
      <c r="F166" t="inlineStr">
        <is>
          <t>VÄSTRA GÖTALANDS LÄN</t>
        </is>
      </c>
      <c r="G166" t="inlineStr">
        <is>
          <t>LIDKÖPING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53273-2023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46280</v>
      </c>
      <c r="F167" t="inlineStr">
        <is>
          <t>VÄSTRA GÖTALANDS LÄN</t>
        </is>
      </c>
      <c r="G167" t="inlineStr">
        <is>
          <t>LIDKÖPING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45084</v>
      </c>
      <c r="E168" s="1" t="n">
        <v>46280</v>
      </c>
      <c r="F168" t="inlineStr">
        <is>
          <t>VÄSTRA GÖTALANDS LÄN</t>
        </is>
      </c>
      <c r="G168" t="inlineStr">
        <is>
          <t>LIDKÖPING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45226</v>
      </c>
      <c r="E169" s="1" t="n">
        <v>46280</v>
      </c>
      <c r="F169" t="inlineStr">
        <is>
          <t>VÄSTRA GÖTALANDS LÄN</t>
        </is>
      </c>
      <c r="G169" t="inlineStr">
        <is>
          <t>LIDKÖPING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45702</v>
      </c>
      <c r="E170" s="1" t="n">
        <v>46280</v>
      </c>
      <c r="F170" t="inlineStr">
        <is>
          <t>VÄSTRA GÖTALANDS LÄN</t>
        </is>
      </c>
      <c r="G170" t="inlineStr">
        <is>
          <t>LIDKÖPING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45120</v>
      </c>
      <c r="E171" s="1" t="n">
        <v>46280</v>
      </c>
      <c r="F171" t="inlineStr">
        <is>
          <t>VÄSTRA GÖTALANDS LÄN</t>
        </is>
      </c>
      <c r="G171" t="inlineStr">
        <is>
          <t>LIDKÖPING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6080-2023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44964</v>
      </c>
      <c r="E172" s="1" t="n">
        <v>46280</v>
      </c>
      <c r="F172" t="inlineStr">
        <is>
          <t>VÄSTRA GÖTALANDS LÄN</t>
        </is>
      </c>
      <c r="G172" t="inlineStr">
        <is>
          <t>LIDKÖPING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46280</v>
      </c>
      <c r="F173" t="inlineStr">
        <is>
          <t>VÄSTRA GÖTALANDS LÄN</t>
        </is>
      </c>
      <c r="G173" t="inlineStr">
        <is>
          <t>LIDKÖPING</t>
        </is>
      </c>
      <c r="I173" t="n">
        <v>11.1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44960</v>
      </c>
      <c r="E174" s="1" t="n">
        <v>46280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46280</v>
      </c>
      <c r="F175" t="inlineStr">
        <is>
          <t>VÄSTRA GÖTALANDS LÄN</t>
        </is>
      </c>
      <c r="G175" t="inlineStr">
        <is>
          <t>LIDKÖPING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45357</v>
      </c>
      <c r="E176" s="1" t="n">
        <v>46280</v>
      </c>
      <c r="F176" t="inlineStr">
        <is>
          <t>VÄSTRA GÖTALANDS LÄN</t>
        </is>
      </c>
      <c r="G176" t="inlineStr">
        <is>
          <t>LIDKÖPING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44851</v>
      </c>
      <c r="E177" s="1" t="n">
        <v>46280</v>
      </c>
      <c r="F177" t="inlineStr">
        <is>
          <t>VÄSTRA GÖTALANDS LÄN</t>
        </is>
      </c>
      <c r="G177" t="inlineStr">
        <is>
          <t>LIDKÖPING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45006</v>
      </c>
      <c r="E178" s="1" t="n">
        <v>46280</v>
      </c>
      <c r="F178" t="inlineStr">
        <is>
          <t>VÄSTRA GÖTALANDS LÄN</t>
        </is>
      </c>
      <c r="G178" t="inlineStr">
        <is>
          <t>LIDKÖPING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45623</v>
      </c>
      <c r="E179" s="1" t="n">
        <v>46280</v>
      </c>
      <c r="F179" t="inlineStr">
        <is>
          <t>VÄSTRA GÖTALANDS LÄN</t>
        </is>
      </c>
      <c r="G179" t="inlineStr">
        <is>
          <t>LIDKÖPING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45355</v>
      </c>
      <c r="E180" s="1" t="n">
        <v>46280</v>
      </c>
      <c r="F180" t="inlineStr">
        <is>
          <t>VÄSTRA GÖTALANDS LÄN</t>
        </is>
      </c>
      <c r="G180" t="inlineStr">
        <is>
          <t>LIDKÖPING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46280</v>
      </c>
      <c r="F181" t="inlineStr">
        <is>
          <t>VÄSTRA GÖTALANDS LÄN</t>
        </is>
      </c>
      <c r="G181" t="inlineStr">
        <is>
          <t>LIDKÖPING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45506</v>
      </c>
      <c r="E182" s="1" t="n">
        <v>46280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Kommuner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60118-2024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45642</v>
      </c>
      <c r="E183" s="1" t="n">
        <v>46280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62551-2021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44503</v>
      </c>
      <c r="E184" s="1" t="n">
        <v>46280</v>
      </c>
      <c r="F184" t="inlineStr">
        <is>
          <t>VÄSTRA GÖTALANDS LÄN</t>
        </is>
      </c>
      <c r="G184" t="inlineStr">
        <is>
          <t>LIDKÖPING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56542-2024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45625</v>
      </c>
      <c r="E185" s="1" t="n">
        <v>46280</v>
      </c>
      <c r="F185" t="inlineStr">
        <is>
          <t>VÄSTRA GÖTALANDS LÄN</t>
        </is>
      </c>
      <c r="G185" t="inlineStr">
        <is>
          <t>LIDKÖPING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46280</v>
      </c>
      <c r="F186" t="inlineStr">
        <is>
          <t>VÄSTRA GÖTALANDS LÄN</t>
        </is>
      </c>
      <c r="G186" t="inlineStr">
        <is>
          <t>LIDKÖPING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46280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46280</v>
      </c>
      <c r="F188" t="inlineStr">
        <is>
          <t>VÄSTRA GÖTALANDS LÄN</t>
        </is>
      </c>
      <c r="G188" t="inlineStr">
        <is>
          <t>LIDKÖPING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46280</v>
      </c>
      <c r="F189" t="inlineStr">
        <is>
          <t>VÄSTRA GÖTALANDS LÄN</t>
        </is>
      </c>
      <c r="G189" t="inlineStr">
        <is>
          <t>LIDKÖPING</t>
        </is>
      </c>
      <c r="I189" t="n">
        <v>17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58672-2022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46280</v>
      </c>
      <c r="F190" t="inlineStr">
        <is>
          <t>VÄSTRA GÖTALANDS LÄN</t>
        </is>
      </c>
      <c r="G190" t="inlineStr">
        <is>
          <t>LIDKÖPING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46280</v>
      </c>
      <c r="F191" t="inlineStr">
        <is>
          <t>VÄSTRA GÖTALANDS LÄN</t>
        </is>
      </c>
      <c r="G191" t="inlineStr">
        <is>
          <t>LIDKÖPING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46280</v>
      </c>
      <c r="F192" t="inlineStr">
        <is>
          <t>VÄSTRA GÖTALANDS LÄN</t>
        </is>
      </c>
      <c r="G192" t="inlineStr">
        <is>
          <t>LIDKÖPING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45169</v>
      </c>
      <c r="E193" s="1" t="n">
        <v>46280</v>
      </c>
      <c r="F193" t="inlineStr">
        <is>
          <t>VÄSTRA GÖTALANDS LÄN</t>
        </is>
      </c>
      <c r="G193" t="inlineStr">
        <is>
          <t>LIDKÖPING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46280</v>
      </c>
      <c r="F194" t="inlineStr">
        <is>
          <t>VÄSTRA GÖTALANDS LÄN</t>
        </is>
      </c>
      <c r="G194" t="inlineStr">
        <is>
          <t>LIDKÖPING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62541-2021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44503</v>
      </c>
      <c r="E195" s="1" t="n">
        <v>46280</v>
      </c>
      <c r="F195" t="inlineStr">
        <is>
          <t>VÄSTRA GÖTALANDS LÄN</t>
        </is>
      </c>
      <c r="G195" t="inlineStr">
        <is>
          <t>LIDKÖPING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46280</v>
      </c>
      <c r="F196" t="inlineStr">
        <is>
          <t>VÄSTRA GÖTALANDS LÄN</t>
        </is>
      </c>
      <c r="G196" t="inlineStr">
        <is>
          <t>LIDKÖPING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46280</v>
      </c>
      <c r="F197" t="inlineStr">
        <is>
          <t>VÄSTRA GÖTALANDS LÄN</t>
        </is>
      </c>
      <c r="G197" t="inlineStr">
        <is>
          <t>LIDKÖPING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46280</v>
      </c>
      <c r="F198" t="inlineStr">
        <is>
          <t>VÄSTRA GÖTALANDS LÄN</t>
        </is>
      </c>
      <c r="G198" t="inlineStr">
        <is>
          <t>LIDKÖPING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46280</v>
      </c>
      <c r="F199" t="inlineStr">
        <is>
          <t>VÄSTRA GÖTALANDS LÄN</t>
        </is>
      </c>
      <c r="G199" t="inlineStr">
        <is>
          <t>LIDKÖPING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45343</v>
      </c>
      <c r="E200" s="1" t="n">
        <v>46280</v>
      </c>
      <c r="F200" t="inlineStr">
        <is>
          <t>VÄSTRA GÖTALANDS LÄN</t>
        </is>
      </c>
      <c r="G200" t="inlineStr">
        <is>
          <t>LIDKÖPING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46280</v>
      </c>
      <c r="F201" t="inlineStr">
        <is>
          <t>VÄSTRA GÖTALANDS LÄN</t>
        </is>
      </c>
      <c r="G201" t="inlineStr">
        <is>
          <t>LIDKÖPING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45127</v>
      </c>
      <c r="E202" s="1" t="n">
        <v>46280</v>
      </c>
      <c r="F202" t="inlineStr">
        <is>
          <t>VÄSTRA GÖTALANDS LÄN</t>
        </is>
      </c>
      <c r="G202" t="inlineStr">
        <is>
          <t>LIDKÖPING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53764-2024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46280</v>
      </c>
      <c r="F203" t="inlineStr">
        <is>
          <t>VÄSTRA GÖTALANDS LÄN</t>
        </is>
      </c>
      <c r="G203" t="inlineStr">
        <is>
          <t>LIDKÖPING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44308-2023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45188</v>
      </c>
      <c r="E204" s="1" t="n">
        <v>46280</v>
      </c>
      <c r="F204" t="inlineStr">
        <is>
          <t>VÄSTRA GÖTALANDS LÄN</t>
        </is>
      </c>
      <c r="G204" t="inlineStr">
        <is>
          <t>LIDKÖPING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46280</v>
      </c>
      <c r="F205" t="inlineStr">
        <is>
          <t>VÄSTRA GÖTALANDS LÄN</t>
        </is>
      </c>
      <c r="G205" t="inlineStr">
        <is>
          <t>LIDKÖPING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45527</v>
      </c>
      <c r="E206" s="1" t="n">
        <v>46280</v>
      </c>
      <c r="F206" t="inlineStr">
        <is>
          <t>VÄSTRA GÖTALANDS LÄN</t>
        </is>
      </c>
      <c r="G206" t="inlineStr">
        <is>
          <t>LIDKÖPING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46280</v>
      </c>
      <c r="F207" t="inlineStr">
        <is>
          <t>VÄSTRA GÖTALANDS LÄN</t>
        </is>
      </c>
      <c r="G207" t="inlineStr">
        <is>
          <t>LIDKÖPING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44964</v>
      </c>
      <c r="E208" s="1" t="n">
        <v>46280</v>
      </c>
      <c r="F208" t="inlineStr">
        <is>
          <t>VÄSTRA GÖTALANDS LÄN</t>
        </is>
      </c>
      <c r="G208" t="inlineStr">
        <is>
          <t>LIDKÖPING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46280</v>
      </c>
      <c r="F209" t="inlineStr">
        <is>
          <t>VÄSTRA GÖTALANDS LÄN</t>
        </is>
      </c>
      <c r="G209" t="inlineStr">
        <is>
          <t>LIDKÖPING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45244</v>
      </c>
      <c r="E210" s="1" t="n">
        <v>46280</v>
      </c>
      <c r="F210" t="inlineStr">
        <is>
          <t>VÄSTRA GÖTALANDS LÄN</t>
        </is>
      </c>
      <c r="G210" t="inlineStr">
        <is>
          <t>LIDKÖPING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46280</v>
      </c>
      <c r="F211" t="inlineStr">
        <is>
          <t>VÄSTRA GÖTALANDS LÄN</t>
        </is>
      </c>
      <c r="G211" t="inlineStr">
        <is>
          <t>LIDKÖPING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45635</v>
      </c>
      <c r="E212" s="1" t="n">
        <v>46280</v>
      </c>
      <c r="F212" t="inlineStr">
        <is>
          <t>VÄSTRA GÖTALANDS LÄN</t>
        </is>
      </c>
      <c r="G212" t="inlineStr">
        <is>
          <t>LIDKÖPING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45649</v>
      </c>
      <c r="E213" s="1" t="n">
        <v>46280</v>
      </c>
      <c r="F213" t="inlineStr">
        <is>
          <t>VÄSTRA GÖTALANDS LÄN</t>
        </is>
      </c>
      <c r="G213" t="inlineStr">
        <is>
          <t>LIDKÖPING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46280</v>
      </c>
      <c r="F214" t="inlineStr">
        <is>
          <t>VÄSTRA GÖTALANDS LÄN</t>
        </is>
      </c>
      <c r="G214" t="inlineStr">
        <is>
          <t>LIDKÖPING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56373-2024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46280</v>
      </c>
      <c r="F215" t="inlineStr">
        <is>
          <t>VÄSTRA GÖTALANDS LÄN</t>
        </is>
      </c>
      <c r="G215" t="inlineStr">
        <is>
          <t>LIDKÖPING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46280</v>
      </c>
      <c r="F216" t="inlineStr">
        <is>
          <t>VÄSTRA GÖTALANDS LÄN</t>
        </is>
      </c>
      <c r="G216" t="inlineStr">
        <is>
          <t>LIDKÖPING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46280</v>
      </c>
      <c r="F217" t="inlineStr">
        <is>
          <t>VÄSTRA GÖTALANDS LÄN</t>
        </is>
      </c>
      <c r="G217" t="inlineStr">
        <is>
          <t>LIDKÖPING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3762-2024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45558</v>
      </c>
      <c r="E218" s="1" t="n">
        <v>46280</v>
      </c>
      <c r="F218" t="inlineStr">
        <is>
          <t>VÄSTRA GÖTALANDS LÄN</t>
        </is>
      </c>
      <c r="G218" t="inlineStr">
        <is>
          <t>LIDKÖPING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1807-2022</t>
        </is>
      </c>
      <c r="B219" t="inlineStr">
        <is>
          <t>samrådsanmälan</t>
        </is>
      </c>
      <c r="C219" t="inlineStr">
        <is>
          <t>Skogsbilväg</t>
        </is>
      </c>
      <c r="D219" s="1" t="n">
        <v>44656</v>
      </c>
      <c r="E219" s="1" t="n">
        <v>46280</v>
      </c>
      <c r="F219" t="inlineStr">
        <is>
          <t>VÄSTRA GÖTALANDS LÄN</t>
        </is>
      </c>
      <c r="G219" t="inlineStr">
        <is>
          <t>LIDKÖPING</t>
        </is>
      </c>
      <c r="H219" t="inlineStr">
        <is>
          <t>Kyrkan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320-2025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45688</v>
      </c>
      <c r="E220" s="1" t="n">
        <v>46280</v>
      </c>
      <c r="F220" t="inlineStr">
        <is>
          <t>VÄSTRA GÖTALANDS LÄN</t>
        </is>
      </c>
      <c r="G220" t="inlineStr">
        <is>
          <t>LIDKÖPING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319-2025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45688</v>
      </c>
      <c r="E221" s="1" t="n">
        <v>46280</v>
      </c>
      <c r="F221" t="inlineStr">
        <is>
          <t>VÄSTRA GÖTALANDS LÄN</t>
        </is>
      </c>
      <c r="G221" t="inlineStr">
        <is>
          <t>LIDKÖPING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2767-2022</t>
        </is>
      </c>
      <c r="B222" t="inlineStr">
        <is>
          <t>samrådsanmälan</t>
        </is>
      </c>
      <c r="C222" t="inlineStr">
        <is>
          <t>Åtgärd i nyckelbiotop</t>
        </is>
      </c>
      <c r="D222" s="1" t="n">
        <v>44705</v>
      </c>
      <c r="E222" s="1" t="n">
        <v>46280</v>
      </c>
      <c r="F222" t="inlineStr">
        <is>
          <t>VÄSTRA GÖTALANDS LÄN</t>
        </is>
      </c>
      <c r="G222" t="inlineStr">
        <is>
          <t>LIDKÖPING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2026-09-15T08:16:42Z</dcterms:created>
  <dcterms:modified xmlns:dcterms="http://purl.org/dc/terms/" xmlns:xsi="http://www.w3.org/2001/XMLSchema-instance" xsi:type="dcterms:W3CDTF">2026-09-15T08:16:42Z</dcterms:modified>
</cp:coreProperties>
</file>